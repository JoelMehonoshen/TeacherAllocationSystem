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vermeulen/TeacherAllocationSystem/"/>
    </mc:Choice>
  </mc:AlternateContent>
  <xr:revisionPtr revIDLastSave="0" documentId="13_ncr:1_{7E02B1AE-DEBE-9A47-B723-9B26B881C2BC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Allocation" sheetId="1" r:id="rId1"/>
    <sheet name="Sheet1" sheetId="2" r:id="rId2"/>
    <sheet name="Sheet2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1" l="1"/>
  <c r="F25" i="1"/>
  <c r="D32" i="1"/>
  <c r="F12" i="1"/>
  <c r="H6" i="1"/>
  <c r="M6" i="1"/>
  <c r="Q6" i="1"/>
  <c r="U6" i="1"/>
  <c r="Y6" i="1"/>
  <c r="Q7" i="1"/>
  <c r="S7" i="1"/>
  <c r="S8" i="1" s="1"/>
  <c r="T7" i="1"/>
  <c r="T8" i="1" s="1"/>
  <c r="U7" i="1"/>
  <c r="U8" i="1" s="1"/>
  <c r="V7" i="1"/>
  <c r="V8" i="1" s="1"/>
  <c r="W7" i="1"/>
  <c r="W8" i="1" s="1"/>
  <c r="X7" i="1"/>
  <c r="X8" i="1" s="1"/>
  <c r="Y7" i="1"/>
  <c r="Y8" i="1" s="1"/>
  <c r="T6" i="1"/>
  <c r="V6" i="1"/>
  <c r="W6" i="1"/>
  <c r="X6" i="1"/>
  <c r="S6" i="1"/>
  <c r="N6" i="1"/>
  <c r="R7" i="1"/>
  <c r="R8" i="1" s="1"/>
  <c r="P7" i="1"/>
  <c r="P8" i="1" s="1"/>
  <c r="O7" i="1"/>
  <c r="O8" i="1" s="1"/>
  <c r="N7" i="1"/>
  <c r="N8" i="1" s="1"/>
  <c r="M7" i="1"/>
  <c r="L7" i="1"/>
  <c r="L8" i="1" s="1"/>
  <c r="J7" i="1"/>
  <c r="J8" i="1" s="1"/>
  <c r="I7" i="1"/>
  <c r="I8" i="1" s="1"/>
  <c r="H7" i="1"/>
  <c r="R6" i="1"/>
  <c r="P6" i="1"/>
  <c r="O6" i="1"/>
  <c r="L6" i="1"/>
  <c r="K6" i="1"/>
  <c r="J6" i="1"/>
  <c r="I6" i="1"/>
  <c r="AB6" i="1" l="1"/>
  <c r="Q8" i="1"/>
  <c r="M8" i="1"/>
  <c r="H8" i="1"/>
  <c r="F19" i="1" l="1"/>
  <c r="F27" i="1"/>
  <c r="F18" i="1"/>
  <c r="F21" i="1"/>
  <c r="F29" i="1"/>
  <c r="F26" i="1"/>
  <c r="F17" i="1"/>
  <c r="F24" i="1"/>
  <c r="F28" i="1"/>
  <c r="F30" i="1"/>
  <c r="F20" i="1"/>
  <c r="F22" i="1"/>
  <c r="F14" i="1"/>
  <c r="F23" i="1"/>
  <c r="F10" i="1"/>
  <c r="F9" i="1"/>
  <c r="F13" i="1"/>
  <c r="F11" i="1"/>
  <c r="F16" i="1"/>
  <c r="B32" i="1" l="1"/>
  <c r="K7" i="1" s="1"/>
  <c r="K8" i="1" s="1"/>
  <c r="C2" i="1"/>
  <c r="E9" i="1" s="1"/>
  <c r="G9" i="1" s="1"/>
  <c r="E30" i="1" l="1"/>
  <c r="G30" i="1" s="1"/>
  <c r="E20" i="1"/>
  <c r="G20" i="1" s="1"/>
  <c r="E10" i="1"/>
  <c r="G10" i="1" s="1"/>
  <c r="E14" i="1"/>
  <c r="G14" i="1" s="1"/>
  <c r="E24" i="1"/>
  <c r="G24" i="1" s="1"/>
  <c r="E18" i="1"/>
  <c r="G18" i="1" s="1"/>
  <c r="E27" i="1"/>
  <c r="G27" i="1" s="1"/>
  <c r="E17" i="1"/>
  <c r="G17" i="1" s="1"/>
  <c r="E29" i="1"/>
  <c r="G29" i="1" s="1"/>
  <c r="E11" i="1"/>
  <c r="G11" i="1" s="1"/>
  <c r="E16" i="1"/>
  <c r="G16" i="1" s="1"/>
  <c r="E12" i="1"/>
  <c r="G12" i="1" s="1"/>
  <c r="E19" i="1"/>
  <c r="G19" i="1" s="1"/>
  <c r="E13" i="1"/>
  <c r="G13" i="1" s="1"/>
  <c r="E21" i="1"/>
  <c r="G21" i="1" s="1"/>
  <c r="E28" i="1"/>
  <c r="G28" i="1" s="1"/>
  <c r="E26" i="1"/>
  <c r="G26" i="1" s="1"/>
  <c r="E15" i="1"/>
  <c r="G15" i="1" s="1"/>
  <c r="E25" i="1"/>
  <c r="G25" i="1" s="1"/>
  <c r="E22" i="1"/>
  <c r="G22" i="1" s="1"/>
  <c r="E23" i="1"/>
  <c r="G23" i="1" s="1"/>
</calcChain>
</file>

<file path=xl/sharedStrings.xml><?xml version="1.0" encoding="utf-8"?>
<sst xmlns="http://schemas.openxmlformats.org/spreadsheetml/2006/main" count="100" uniqueCount="70">
  <si>
    <t>Code</t>
  </si>
  <si>
    <t>CAB201</t>
  </si>
  <si>
    <t>CAB202</t>
  </si>
  <si>
    <t>CAB203</t>
  </si>
  <si>
    <t>CAB210</t>
  </si>
  <si>
    <t>CAB220</t>
  </si>
  <si>
    <t>CAB230</t>
  </si>
  <si>
    <t>CAB240</t>
  </si>
  <si>
    <t>CAB301</t>
  </si>
  <si>
    <t>CAB302</t>
  </si>
  <si>
    <t>CAB303</t>
  </si>
  <si>
    <t>Standard Load:</t>
  </si>
  <si>
    <t>Name</t>
  </si>
  <si>
    <t>Programming Principles</t>
  </si>
  <si>
    <t>Micro Proc and Dig Sys</t>
  </si>
  <si>
    <t>Discrete Structures</t>
  </si>
  <si>
    <t>People Context &amp; Tech</t>
  </si>
  <si>
    <t>Fund of Data Science</t>
  </si>
  <si>
    <t>Web Computing</t>
  </si>
  <si>
    <t>Information Security</t>
  </si>
  <si>
    <t>Algorithms &amp; Complexity</t>
  </si>
  <si>
    <t>Software Development</t>
  </si>
  <si>
    <t>Networks</t>
  </si>
  <si>
    <t>Sem</t>
  </si>
  <si>
    <t>Students</t>
  </si>
  <si>
    <t>Share</t>
  </si>
  <si>
    <t>Minimum Load:</t>
  </si>
  <si>
    <t>Assigned Load</t>
  </si>
  <si>
    <t>Total:</t>
  </si>
  <si>
    <t>Academic</t>
  </si>
  <si>
    <t>School</t>
  </si>
  <si>
    <t>Load</t>
  </si>
  <si>
    <t>Unit Load</t>
  </si>
  <si>
    <t>Actual Load</t>
  </si>
  <si>
    <t>Load Error</t>
  </si>
  <si>
    <t>CS</t>
  </si>
  <si>
    <t>2013 breaks LSL</t>
  </si>
  <si>
    <t xml:space="preserve"> Sergine Aldéric </t>
  </si>
  <si>
    <t>Dec-Jan LSL</t>
  </si>
  <si>
    <t xml:space="preserve"> Dennis Darren </t>
  </si>
  <si>
    <t xml:space="preserve"> Timotha Lanny </t>
  </si>
  <si>
    <t xml:space="preserve"> Lorrie Sheila </t>
  </si>
  <si>
    <t xml:space="preserve"> Nia Kerena </t>
  </si>
  <si>
    <t xml:space="preserve"> Avice Preston </t>
  </si>
  <si>
    <t xml:space="preserve"> Hellen Tatianna </t>
  </si>
  <si>
    <t>Total</t>
  </si>
  <si>
    <t>CAB401</t>
  </si>
  <si>
    <t>CAB402</t>
  </si>
  <si>
    <t>CAB 403</t>
  </si>
  <si>
    <t>CAB 420</t>
  </si>
  <si>
    <t>Programming Paradigms</t>
  </si>
  <si>
    <t xml:space="preserve">Systems Programming </t>
  </si>
  <si>
    <t>Machine Laerning</t>
  </si>
  <si>
    <t>High perform &amp; parallel com</t>
  </si>
  <si>
    <t xml:space="preserve"> Samual Leslie </t>
  </si>
  <si>
    <t xml:space="preserve"> Mary Hendrickson</t>
  </si>
  <si>
    <t>Kierra Martin</t>
  </si>
  <si>
    <t>Tom Wheelock</t>
  </si>
  <si>
    <t>John Kaylen</t>
  </si>
  <si>
    <t>Cara Ayers</t>
  </si>
  <si>
    <t>Elfreda Fowler</t>
  </si>
  <si>
    <t>Eric Russel</t>
  </si>
  <si>
    <t>Jaden Norwood</t>
  </si>
  <si>
    <t>Rachelle Jena</t>
  </si>
  <si>
    <t>Joline Sharp</t>
  </si>
  <si>
    <t>Jerry Barker</t>
  </si>
  <si>
    <t>Yaling Song</t>
  </si>
  <si>
    <t>Rong Yun Tang</t>
  </si>
  <si>
    <t>Heng Long Ho</t>
  </si>
  <si>
    <t>Allocated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</si>
</sst>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7E4BD"/>
        <b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2" borderId="1" applyProtection="0"/>
  </cellStyleXfs>
  <cellXfs count="46">
    <xf numFmtId="0" fontId="0" fillId="0" borderId="0" xfId="0"/>
    <xf numFmtId="0" fontId="2" fillId="0" borderId="0" xfId="0" applyFont="1"/>
    <xf numFmtId="0" fontId="0" fillId="0" borderId="0" xfId="0" applyFont="1" applyAlignment="1">
      <alignment horizontal="center" vertical="center" textRotation="180"/>
    </xf>
    <xf numFmtId="0" fontId="0" fillId="0" borderId="0" xfId="0" applyFont="1" applyAlignment="1">
      <alignment horizontal="center" vertical="center" textRotation="180"/>
    </xf>
    <xf numFmtId="0" fontId="0" fillId="0" borderId="0" xfId="0" applyFont="1" applyBorder="1" applyAlignment="1">
      <alignment horizontal="center" vertical="center" textRotation="180"/>
    </xf>
    <xf numFmtId="0" fontId="2" fillId="0" borderId="0" xfId="0" applyFont="1" applyAlignment="1">
      <alignment horizontal="right"/>
    </xf>
    <xf numFmtId="0" fontId="0" fillId="0" borderId="0" xfId="0" applyFont="1" applyAlignment="1">
      <alignment horizontal="center" vertical="center" textRotation="180" wrapText="1"/>
    </xf>
    <xf numFmtId="0" fontId="0" fillId="0" borderId="0" xfId="0" applyFont="1" applyBorder="1" applyAlignment="1">
      <alignment horizontal="center" vertical="center" textRotation="180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/>
    <xf numFmtId="0" fontId="0" fillId="0" borderId="0" xfId="0" applyBorder="1"/>
    <xf numFmtId="0" fontId="0" fillId="3" borderId="0" xfId="0" applyFont="1" applyFill="1"/>
    <xf numFmtId="0" fontId="4" fillId="0" borderId="0" xfId="0" applyFont="1"/>
    <xf numFmtId="164" fontId="0" fillId="0" borderId="0" xfId="0" applyNumberFormat="1" applyBorder="1"/>
    <xf numFmtId="0" fontId="4" fillId="0" borderId="0" xfId="0" applyFont="1" applyBorder="1"/>
    <xf numFmtId="0" fontId="2" fillId="0" borderId="0" xfId="0" applyFont="1" applyBorder="1"/>
    <xf numFmtId="0" fontId="3" fillId="0" borderId="0" xfId="0" applyFont="1"/>
    <xf numFmtId="0" fontId="0" fillId="3" borderId="0" xfId="0" applyFont="1" applyFill="1" applyBorder="1"/>
    <xf numFmtId="0" fontId="3" fillId="0" borderId="0" xfId="0" applyFont="1" applyBorder="1"/>
    <xf numFmtId="0" fontId="5" fillId="2" borderId="0" xfId="3" applyBorder="1" applyAlignment="1" applyProtection="1"/>
    <xf numFmtId="0" fontId="0" fillId="0" borderId="1" xfId="0" applyBorder="1"/>
    <xf numFmtId="0" fontId="0" fillId="0" borderId="2" xfId="0" applyBorder="1"/>
    <xf numFmtId="0" fontId="6" fillId="0" borderId="0" xfId="0" applyFont="1"/>
    <xf numFmtId="0" fontId="6" fillId="0" borderId="0" xfId="0" applyFont="1" applyBorder="1"/>
    <xf numFmtId="0" fontId="7" fillId="0" borderId="0" xfId="0" applyFont="1"/>
    <xf numFmtId="0" fontId="0" fillId="0" borderId="0" xfId="0" applyFont="1" applyFill="1"/>
    <xf numFmtId="0" fontId="1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Excel Built-in Calculation" xfId="3" xr:uid="{00000000-0005-0000-0000-000008000000}"/>
    <cellStyle name="Normal" xfId="0" builtinId="0"/>
    <cellStyle name="Normal 2" xfId="1" xr:uid="{00000000-0005-0000-0000-000006000000}"/>
    <cellStyle name="Normal 2 2" xfId="2" xr:uid="{00000000-0005-0000-0000-000007000000}"/>
  </cellStyles>
  <dxfs count="24"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  <dxf>
      <font>
        <color rgb="FFFFFFFF"/>
      </font>
      <fill>
        <patternFill>
          <bgColor rgb="FF9BBB59"/>
        </patternFill>
      </fill>
    </dxf>
    <dxf>
      <fill>
        <patternFill>
          <bgColor rgb="FFC0504D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9"/>
  <sheetViews>
    <sheetView tabSelected="1" zoomScaleNormal="100" workbookViewId="0">
      <pane xSplit="7" ySplit="8" topLeftCell="H9" activePane="bottomRight" state="frozen"/>
      <selection pane="topRight" activeCell="R1" sqref="R1"/>
      <selection pane="bottomLeft" activeCell="A30" sqref="A30"/>
      <selection pane="bottomRight" activeCell="O18" sqref="O18"/>
    </sheetView>
  </sheetViews>
  <sheetFormatPr baseColWidth="10" defaultColWidth="8.5" defaultRowHeight="15" x14ac:dyDescent="0.2"/>
  <cols>
    <col min="1" max="1" width="27.5" customWidth="1"/>
    <col min="2" max="2" width="13.1640625" bestFit="1" customWidth="1"/>
    <col min="3" max="4" width="6.5" customWidth="1"/>
    <col min="5" max="5" width="5.83203125" customWidth="1"/>
    <col min="6" max="6" width="7.5" customWidth="1"/>
    <col min="7" max="7" width="6.5" customWidth="1"/>
    <col min="8" max="26" width="5.5" customWidth="1"/>
    <col min="27" max="27" width="5.33203125" customWidth="1"/>
    <col min="28" max="28" width="6.6640625" bestFit="1" customWidth="1"/>
    <col min="29" max="32" width="5.5" customWidth="1"/>
    <col min="33" max="33" width="6.5" customWidth="1"/>
    <col min="34" max="62" width="5.5" customWidth="1"/>
    <col min="63" max="63" width="5.83203125" customWidth="1"/>
    <col min="64" max="84" width="5.5" customWidth="1"/>
    <col min="91" max="93" width="5.5" customWidth="1"/>
  </cols>
  <sheetData>
    <row r="1" spans="1:93" ht="91.25" customHeight="1" x14ac:dyDescent="0.2">
      <c r="G1" s="1" t="s">
        <v>0</v>
      </c>
      <c r="H1" s="2" t="s">
        <v>1</v>
      </c>
      <c r="I1" s="2" t="s">
        <v>1</v>
      </c>
      <c r="J1" s="2" t="s">
        <v>2</v>
      </c>
      <c r="K1" s="2" t="s">
        <v>2</v>
      </c>
      <c r="L1" s="3" t="s">
        <v>3</v>
      </c>
      <c r="M1" s="3" t="s">
        <v>4</v>
      </c>
      <c r="N1" s="3" t="s">
        <v>5</v>
      </c>
      <c r="O1" s="2" t="s">
        <v>6</v>
      </c>
      <c r="P1" s="3" t="s">
        <v>7</v>
      </c>
      <c r="Q1" s="2" t="s">
        <v>8</v>
      </c>
      <c r="R1" s="2" t="s">
        <v>9</v>
      </c>
      <c r="S1" s="2" t="s">
        <v>10</v>
      </c>
      <c r="T1" s="2" t="s">
        <v>46</v>
      </c>
      <c r="U1" s="3" t="s">
        <v>46</v>
      </c>
      <c r="V1" s="2" t="s">
        <v>47</v>
      </c>
      <c r="W1" s="2" t="s">
        <v>48</v>
      </c>
      <c r="X1" s="3" t="s">
        <v>48</v>
      </c>
      <c r="Y1" s="2" t="s">
        <v>49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3"/>
      <c r="AU1" s="3"/>
      <c r="AV1" s="3"/>
      <c r="AW1" s="3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4"/>
      <c r="CM1" s="2"/>
      <c r="CN1" s="2"/>
      <c r="CO1" s="2"/>
    </row>
    <row r="2" spans="1:93" ht="78" customHeight="1" x14ac:dyDescent="0.2">
      <c r="A2" s="5" t="s">
        <v>11</v>
      </c>
      <c r="B2" s="5"/>
      <c r="C2">
        <f>AB6/D32</f>
        <v>1.366467607062068</v>
      </c>
      <c r="G2" s="1" t="s">
        <v>12</v>
      </c>
      <c r="H2" s="6" t="s">
        <v>13</v>
      </c>
      <c r="I2" s="6" t="s">
        <v>13</v>
      </c>
      <c r="J2" s="6" t="s">
        <v>14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53</v>
      </c>
      <c r="U2" s="6" t="s">
        <v>53</v>
      </c>
      <c r="V2" s="6" t="s">
        <v>50</v>
      </c>
      <c r="W2" s="6" t="s">
        <v>51</v>
      </c>
      <c r="X2" s="6" t="s">
        <v>51</v>
      </c>
      <c r="Y2" s="6" t="s">
        <v>52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7"/>
      <c r="CM2" s="6"/>
      <c r="CN2" s="6"/>
      <c r="CO2" s="6"/>
    </row>
    <row r="3" spans="1:93" ht="20" customHeight="1" x14ac:dyDescent="0.2">
      <c r="A3" s="8"/>
      <c r="B3" s="8"/>
      <c r="G3" s="1" t="s">
        <v>23</v>
      </c>
      <c r="H3" s="9">
        <v>1</v>
      </c>
      <c r="I3" s="9">
        <v>2</v>
      </c>
      <c r="J3" s="9">
        <v>1</v>
      </c>
      <c r="K3" s="9">
        <v>2</v>
      </c>
      <c r="L3" s="9">
        <v>1</v>
      </c>
      <c r="M3" s="9">
        <v>2</v>
      </c>
      <c r="N3" s="9">
        <v>2</v>
      </c>
      <c r="O3" s="9">
        <v>1</v>
      </c>
      <c r="P3" s="9">
        <v>2</v>
      </c>
      <c r="Q3" s="9">
        <v>1</v>
      </c>
      <c r="R3" s="9">
        <v>1</v>
      </c>
      <c r="S3" s="9">
        <v>2</v>
      </c>
      <c r="T3" s="9">
        <v>1</v>
      </c>
      <c r="U3" s="9">
        <v>2</v>
      </c>
      <c r="V3" s="9">
        <v>2</v>
      </c>
      <c r="W3" s="9">
        <v>1</v>
      </c>
      <c r="X3" s="9">
        <v>2</v>
      </c>
      <c r="Y3" s="9">
        <v>2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10"/>
      <c r="CM3" s="9"/>
      <c r="CN3" s="9"/>
      <c r="CO3" s="9"/>
    </row>
    <row r="4" spans="1:93" ht="17.5" customHeight="1" x14ac:dyDescent="0.2">
      <c r="G4" s="5" t="s">
        <v>24</v>
      </c>
      <c r="H4" s="11">
        <v>490</v>
      </c>
      <c r="I4" s="11">
        <v>610</v>
      </c>
      <c r="J4" s="11">
        <v>610</v>
      </c>
      <c r="K4" s="11">
        <v>670</v>
      </c>
      <c r="L4" s="11">
        <v>680</v>
      </c>
      <c r="M4" s="11">
        <v>180</v>
      </c>
      <c r="N4" s="11">
        <v>50</v>
      </c>
      <c r="O4" s="11">
        <v>400</v>
      </c>
      <c r="P4" s="11">
        <v>550</v>
      </c>
      <c r="Q4" s="11">
        <v>500</v>
      </c>
      <c r="R4" s="11">
        <v>600</v>
      </c>
      <c r="S4" s="11">
        <v>630</v>
      </c>
      <c r="T4" s="11">
        <v>190</v>
      </c>
      <c r="U4" s="11">
        <v>220</v>
      </c>
      <c r="V4" s="11">
        <v>340</v>
      </c>
      <c r="W4" s="11">
        <v>210</v>
      </c>
      <c r="X4" s="11">
        <v>360</v>
      </c>
      <c r="Y4" s="11">
        <v>400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2"/>
      <c r="CM4" s="11"/>
      <c r="CN4" s="11"/>
      <c r="CO4" s="11"/>
    </row>
    <row r="5" spans="1:93" ht="18" customHeight="1" x14ac:dyDescent="0.2">
      <c r="G5" s="1" t="s">
        <v>25</v>
      </c>
      <c r="H5" s="13">
        <v>1.5</v>
      </c>
      <c r="I5" s="13">
        <v>2</v>
      </c>
      <c r="J5" s="13">
        <v>2</v>
      </c>
      <c r="K5" s="13">
        <v>2</v>
      </c>
      <c r="L5" s="13">
        <v>2</v>
      </c>
      <c r="M5" s="13">
        <v>1</v>
      </c>
      <c r="N5" s="13">
        <v>0.5</v>
      </c>
      <c r="O5" s="13">
        <v>1</v>
      </c>
      <c r="P5" s="13">
        <v>1.5</v>
      </c>
      <c r="Q5" s="13">
        <v>1.5</v>
      </c>
      <c r="R5" s="13">
        <v>2</v>
      </c>
      <c r="S5" s="13">
        <v>2</v>
      </c>
      <c r="T5" s="13">
        <v>1</v>
      </c>
      <c r="U5" s="13">
        <v>1</v>
      </c>
      <c r="V5" s="13">
        <v>1</v>
      </c>
      <c r="W5" s="13">
        <v>1</v>
      </c>
      <c r="X5" s="13">
        <v>1</v>
      </c>
      <c r="Y5" s="13">
        <v>1</v>
      </c>
      <c r="Z5" s="13"/>
      <c r="AA5" s="13"/>
      <c r="AB5" s="13"/>
      <c r="AC5" s="13"/>
      <c r="AD5" s="13"/>
      <c r="AE5" s="13"/>
      <c r="AF5" s="13"/>
      <c r="AG5" s="14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5"/>
      <c r="CM5" s="13"/>
      <c r="CN5" s="13"/>
      <c r="CO5" s="13"/>
    </row>
    <row r="6" spans="1:93" ht="20" customHeight="1" x14ac:dyDescent="0.2">
      <c r="A6" s="5" t="s">
        <v>26</v>
      </c>
      <c r="B6" s="5"/>
      <c r="C6">
        <v>1</v>
      </c>
      <c r="G6" s="5" t="s">
        <v>27</v>
      </c>
      <c r="H6" s="16">
        <f>MAX(LOG10(H4/7),$C$6)*H5</f>
        <v>2.7676470600213854</v>
      </c>
      <c r="I6" s="16">
        <f t="shared" ref="H6:S6" si="0">MAX(LOG10(I4/7),$C$6)*I5</f>
        <v>3.8804635899930204</v>
      </c>
      <c r="J6" s="16">
        <f t="shared" si="0"/>
        <v>3.8804635899930204</v>
      </c>
      <c r="K6" s="16">
        <f t="shared" si="0"/>
        <v>3.9619535253731391</v>
      </c>
      <c r="L6" s="16">
        <f t="shared" si="0"/>
        <v>3.9748217453839589</v>
      </c>
      <c r="M6" s="16">
        <f t="shared" si="0"/>
        <v>1.4101744650890493</v>
      </c>
      <c r="N6" s="16">
        <f>MAX(LOG10(N4/7),$C$6)*N5</f>
        <v>0.5</v>
      </c>
      <c r="O6" s="16">
        <f t="shared" si="0"/>
        <v>1.7569619513137056</v>
      </c>
      <c r="P6" s="16">
        <f t="shared" si="0"/>
        <v>2.8428969742199803</v>
      </c>
      <c r="Q6" s="16">
        <f t="shared" si="0"/>
        <v>2.7808079464826432</v>
      </c>
      <c r="R6" s="16">
        <f t="shared" si="0"/>
        <v>3.8661064207387734</v>
      </c>
      <c r="S6" s="16">
        <f>MAX(LOG10(S4/7),$C$6)*S5</f>
        <v>3.90848501887865</v>
      </c>
      <c r="T6" s="16">
        <f t="shared" ref="T6:Y6" si="1">MAX(LOG10(T4/7),$C$6)*T5</f>
        <v>1.4336555609385722</v>
      </c>
      <c r="U6" s="16">
        <f t="shared" si="1"/>
        <v>1.4973246408079495</v>
      </c>
      <c r="V6" s="16">
        <f t="shared" si="1"/>
        <v>1.6863808770279982</v>
      </c>
      <c r="W6" s="16">
        <f t="shared" si="1"/>
        <v>1.4771212547196624</v>
      </c>
      <c r="X6" s="16">
        <f t="shared" si="1"/>
        <v>1.7112044607530303</v>
      </c>
      <c r="Y6" s="16">
        <f t="shared" si="1"/>
        <v>1.7569619513137056</v>
      </c>
      <c r="AA6" t="s">
        <v>28</v>
      </c>
      <c r="AB6" s="18">
        <f>SUM(H6:Y6)</f>
        <v>45.093431033048248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7"/>
      <c r="CM6" s="16"/>
      <c r="CN6" s="16"/>
      <c r="CO6" s="16"/>
    </row>
    <row r="7" spans="1:93" ht="22" customHeight="1" x14ac:dyDescent="0.2">
      <c r="G7" s="5" t="s">
        <v>69</v>
      </c>
      <c r="H7" s="9">
        <f t="shared" ref="H7:Y7" si="2">SUM(H9:H49)</f>
        <v>1</v>
      </c>
      <c r="I7" s="9">
        <f t="shared" si="2"/>
        <v>2</v>
      </c>
      <c r="J7" s="9">
        <f t="shared" si="2"/>
        <v>3</v>
      </c>
      <c r="K7" s="9">
        <f t="shared" si="2"/>
        <v>2</v>
      </c>
      <c r="L7" s="9">
        <f t="shared" si="2"/>
        <v>2</v>
      </c>
      <c r="M7" s="9">
        <f t="shared" si="2"/>
        <v>2</v>
      </c>
      <c r="N7" s="9">
        <f t="shared" si="2"/>
        <v>2</v>
      </c>
      <c r="O7" s="9">
        <f t="shared" si="2"/>
        <v>2</v>
      </c>
      <c r="P7" s="9">
        <f t="shared" si="2"/>
        <v>2</v>
      </c>
      <c r="Q7" s="9">
        <f>SUM(Q9:Q49)</f>
        <v>2</v>
      </c>
      <c r="R7" s="9">
        <f t="shared" si="2"/>
        <v>2</v>
      </c>
      <c r="S7" s="9">
        <f>SUM(S9:S49)</f>
        <v>3</v>
      </c>
      <c r="T7" s="20">
        <f t="shared" si="2"/>
        <v>1</v>
      </c>
      <c r="U7" s="20">
        <f t="shared" si="2"/>
        <v>1</v>
      </c>
      <c r="V7" s="20">
        <f t="shared" si="2"/>
        <v>2</v>
      </c>
      <c r="W7" s="20">
        <f t="shared" si="2"/>
        <v>2</v>
      </c>
      <c r="X7" s="20">
        <f t="shared" si="2"/>
        <v>2</v>
      </c>
      <c r="Y7" s="20">
        <f t="shared" si="2"/>
        <v>2</v>
      </c>
      <c r="Z7" s="9"/>
      <c r="AA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10"/>
      <c r="CM7" s="9"/>
      <c r="CN7" s="9"/>
      <c r="CO7" s="9"/>
    </row>
    <row r="8" spans="1:93" ht="32" x14ac:dyDescent="0.2">
      <c r="A8" s="19" t="s">
        <v>29</v>
      </c>
      <c r="B8" s="19"/>
      <c r="C8" s="19" t="s">
        <v>30</v>
      </c>
      <c r="D8" s="19" t="s">
        <v>31</v>
      </c>
      <c r="E8" s="19" t="s">
        <v>32</v>
      </c>
      <c r="F8" s="19" t="s">
        <v>33</v>
      </c>
      <c r="G8" s="19" t="s">
        <v>34</v>
      </c>
      <c r="H8" s="20">
        <f t="shared" ref="H8:S8" si="3">IF(H5&lt;&gt;0,H7-1,H7)</f>
        <v>0</v>
      </c>
      <c r="I8" s="20">
        <f t="shared" si="3"/>
        <v>1</v>
      </c>
      <c r="J8" s="20">
        <f t="shared" si="3"/>
        <v>2</v>
      </c>
      <c r="K8" s="20">
        <f>IF(K5&lt;&gt;0,K7-1,K7)</f>
        <v>1</v>
      </c>
      <c r="L8" s="20">
        <f t="shared" si="3"/>
        <v>1</v>
      </c>
      <c r="M8" s="20">
        <f t="shared" si="3"/>
        <v>1</v>
      </c>
      <c r="N8" s="20">
        <f t="shared" si="3"/>
        <v>1</v>
      </c>
      <c r="O8" s="20">
        <f>IF(O5&lt;&gt;0,O7-1,O7)</f>
        <v>1</v>
      </c>
      <c r="P8" s="20">
        <f>IF(P5&lt;&gt;0,P7-1,P7)</f>
        <v>1</v>
      </c>
      <c r="Q8" s="20">
        <f t="shared" si="3"/>
        <v>1</v>
      </c>
      <c r="R8" s="20">
        <f t="shared" si="3"/>
        <v>1</v>
      </c>
      <c r="S8" s="20">
        <f>IF(S5&lt;&gt;0,S7-1,S7)</f>
        <v>2</v>
      </c>
      <c r="T8" s="20">
        <f t="shared" ref="T8:Y8" si="4">IF(T5&lt;&gt;0,T7-1,T7)</f>
        <v>0</v>
      </c>
      <c r="U8" s="20">
        <f t="shared" si="4"/>
        <v>0</v>
      </c>
      <c r="V8" s="20">
        <f t="shared" si="4"/>
        <v>1</v>
      </c>
      <c r="W8" s="20">
        <f t="shared" si="4"/>
        <v>1</v>
      </c>
      <c r="X8" s="20">
        <f t="shared" si="4"/>
        <v>1</v>
      </c>
      <c r="Y8" s="20">
        <f t="shared" si="4"/>
        <v>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1"/>
      <c r="CM8" s="20"/>
      <c r="CN8" s="20"/>
      <c r="CO8" s="20"/>
    </row>
    <row r="9" spans="1:93" x14ac:dyDescent="0.2">
      <c r="A9" t="s">
        <v>55</v>
      </c>
      <c r="C9" t="s">
        <v>35</v>
      </c>
      <c r="D9">
        <v>2</v>
      </c>
      <c r="E9" s="22">
        <f>D9*$C$2</f>
        <v>2.7329352141241361</v>
      </c>
      <c r="F9" s="22">
        <f t="shared" ref="F9:F33" si="5">SUMPRODUCT(H$6:CF$6,H9:CF9)</f>
        <v>4.2649717008293351</v>
      </c>
      <c r="G9" s="22">
        <f>F9-E9</f>
        <v>1.532036486705199</v>
      </c>
      <c r="H9" s="39">
        <v>1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>
        <v>1</v>
      </c>
      <c r="V9" s="40"/>
      <c r="W9" s="40"/>
      <c r="X9" s="40"/>
      <c r="Y9" s="43"/>
      <c r="CF9" s="23"/>
    </row>
    <row r="10" spans="1:93" x14ac:dyDescent="0.2">
      <c r="A10" t="s">
        <v>54</v>
      </c>
      <c r="B10" s="24" t="s">
        <v>36</v>
      </c>
      <c r="C10" t="s">
        <v>35</v>
      </c>
      <c r="D10">
        <v>1</v>
      </c>
      <c r="E10" s="22">
        <f>D10*$C$2</f>
        <v>1.366467607062068</v>
      </c>
      <c r="F10" s="22">
        <f t="shared" si="5"/>
        <v>3.8804635899930204</v>
      </c>
      <c r="G10" s="22">
        <f>F10-E10</f>
        <v>2.5139959829309522</v>
      </c>
      <c r="H10" s="40"/>
      <c r="I10" s="40">
        <v>1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AJ10" s="25"/>
      <c r="AK10" s="1"/>
    </row>
    <row r="11" spans="1:93" x14ac:dyDescent="0.2">
      <c r="A11" t="s">
        <v>37</v>
      </c>
      <c r="B11" s="24" t="s">
        <v>38</v>
      </c>
      <c r="C11" t="s">
        <v>35</v>
      </c>
      <c r="D11">
        <v>1</v>
      </c>
      <c r="E11" s="22">
        <f t="shared" ref="E9:E33" si="6">D11*$C$2</f>
        <v>1.366467607062068</v>
      </c>
      <c r="F11" s="22">
        <f t="shared" si="5"/>
        <v>3.8804635899930204</v>
      </c>
      <c r="G11" s="22">
        <f t="shared" ref="G9:G17" si="7">F11-E11</f>
        <v>2.5139959829309522</v>
      </c>
      <c r="H11" s="40"/>
      <c r="I11" s="40"/>
      <c r="J11" s="40">
        <v>1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AE11" s="1"/>
      <c r="AN11" s="1"/>
      <c r="AO11" s="1"/>
      <c r="CF11" s="23"/>
    </row>
    <row r="12" spans="1:93" x14ac:dyDescent="0.2">
      <c r="A12" t="s">
        <v>39</v>
      </c>
      <c r="C12" t="s">
        <v>35</v>
      </c>
      <c r="D12">
        <v>2</v>
      </c>
      <c r="E12" s="22">
        <f>D12*$C$2</f>
        <v>2.7329352141241361</v>
      </c>
      <c r="F12" s="22">
        <f>SUMPRODUCT(H$6:CF$6,H12:CF12)</f>
        <v>11.817238860750118</v>
      </c>
      <c r="G12" s="22">
        <f t="shared" si="7"/>
        <v>9.0843036466259814</v>
      </c>
      <c r="H12" s="40"/>
      <c r="I12" s="40"/>
      <c r="J12" s="40">
        <v>1</v>
      </c>
      <c r="K12" s="40">
        <v>1</v>
      </c>
      <c r="L12" s="40">
        <v>1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BD12" s="1"/>
      <c r="BE12" s="1"/>
      <c r="CF12" s="23"/>
    </row>
    <row r="13" spans="1:93" x14ac:dyDescent="0.2">
      <c r="A13" t="s">
        <v>40</v>
      </c>
      <c r="B13" s="23"/>
      <c r="C13" t="s">
        <v>35</v>
      </c>
      <c r="D13" s="23">
        <v>2</v>
      </c>
      <c r="E13" s="26">
        <f t="shared" si="6"/>
        <v>2.7329352141241361</v>
      </c>
      <c r="F13" s="26">
        <f t="shared" si="5"/>
        <v>1.9101744650890493</v>
      </c>
      <c r="G13" s="26">
        <f t="shared" si="7"/>
        <v>-0.82276074903508678</v>
      </c>
      <c r="H13" s="40"/>
      <c r="I13" s="40"/>
      <c r="J13" s="40"/>
      <c r="K13" s="40"/>
      <c r="L13" s="40"/>
      <c r="M13" s="41">
        <v>1</v>
      </c>
      <c r="N13" s="40">
        <v>1</v>
      </c>
      <c r="O13" s="41"/>
      <c r="P13" s="40"/>
      <c r="Q13" s="40"/>
      <c r="R13" s="40"/>
      <c r="S13" s="40"/>
      <c r="T13" s="41"/>
      <c r="U13" s="40"/>
      <c r="V13" s="40"/>
      <c r="W13" s="40"/>
      <c r="X13" s="40"/>
      <c r="Y13" s="40"/>
      <c r="AH13" s="23"/>
      <c r="AI13" s="23"/>
      <c r="AL13" s="23"/>
      <c r="AM13" s="23"/>
      <c r="AP13" s="23"/>
      <c r="AQ13" s="23"/>
      <c r="BF13" s="23"/>
      <c r="BG13" s="23"/>
      <c r="BK13" s="23"/>
      <c r="BP13" s="23"/>
      <c r="BT13" s="23"/>
      <c r="BU13" s="23"/>
      <c r="BV13" s="27"/>
      <c r="BW13" s="23"/>
      <c r="BX13" s="23"/>
      <c r="BY13" s="23"/>
      <c r="BZ13" s="23"/>
      <c r="CA13" s="23"/>
      <c r="CB13" s="23"/>
      <c r="CC13" s="28"/>
      <c r="CD13" s="23"/>
      <c r="CE13" s="28"/>
      <c r="CF13" s="23"/>
      <c r="CM13" s="23"/>
    </row>
    <row r="14" spans="1:93" x14ac:dyDescent="0.2">
      <c r="A14" t="s">
        <v>41</v>
      </c>
      <c r="C14" t="s">
        <v>35</v>
      </c>
      <c r="D14">
        <v>1</v>
      </c>
      <c r="E14" s="22">
        <f t="shared" si="6"/>
        <v>1.366467607062068</v>
      </c>
      <c r="F14" s="22">
        <f t="shared" si="5"/>
        <v>1.7569619513137056</v>
      </c>
      <c r="G14" s="22">
        <f t="shared" si="7"/>
        <v>0.39049434425163754</v>
      </c>
      <c r="H14" s="40"/>
      <c r="I14" s="40"/>
      <c r="J14" s="40"/>
      <c r="K14" s="40"/>
      <c r="L14" s="40"/>
      <c r="M14" s="40"/>
      <c r="N14" s="40"/>
      <c r="O14" s="40">
        <v>1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AL14" s="25"/>
      <c r="AM14" s="25"/>
      <c r="BP14" s="25"/>
      <c r="CF14" s="23"/>
    </row>
    <row r="15" spans="1:93" x14ac:dyDescent="0.2">
      <c r="A15" t="s">
        <v>42</v>
      </c>
      <c r="C15" t="s">
        <v>35</v>
      </c>
      <c r="D15">
        <v>2</v>
      </c>
      <c r="E15" s="22">
        <f>D15*$C$2</f>
        <v>2.7329352141241361</v>
      </c>
      <c r="F15" s="22">
        <f>SUMPRODUCT(H$6:CF$6,H15:CF15)</f>
        <v>6.7513819930986303</v>
      </c>
      <c r="G15" s="22">
        <f t="shared" si="7"/>
        <v>4.0184467789744946</v>
      </c>
      <c r="H15" s="40"/>
      <c r="I15" s="40"/>
      <c r="J15" s="40"/>
      <c r="K15" s="40"/>
      <c r="L15" s="40"/>
      <c r="M15" s="40"/>
      <c r="N15" s="40"/>
      <c r="O15" s="40"/>
      <c r="P15" s="42">
        <v>1</v>
      </c>
      <c r="Q15" s="40"/>
      <c r="R15" s="40"/>
      <c r="S15" s="40">
        <v>1</v>
      </c>
      <c r="T15" s="40"/>
      <c r="U15" s="40"/>
      <c r="V15" s="40"/>
      <c r="W15" s="40"/>
      <c r="X15" s="40"/>
      <c r="Y15" s="40"/>
      <c r="AR15" s="1"/>
      <c r="AS15" s="1"/>
      <c r="CM15" s="23"/>
    </row>
    <row r="16" spans="1:93" x14ac:dyDescent="0.2">
      <c r="A16" t="s">
        <v>43</v>
      </c>
      <c r="B16" s="30" t="s">
        <v>38</v>
      </c>
      <c r="C16" t="s">
        <v>35</v>
      </c>
      <c r="D16" s="23">
        <v>2</v>
      </c>
      <c r="E16" s="26">
        <f t="shared" si="6"/>
        <v>2.7329352141241361</v>
      </c>
      <c r="F16" s="26">
        <f t="shared" si="5"/>
        <v>4.2144635074212156</v>
      </c>
      <c r="G16" s="26">
        <f t="shared" si="7"/>
        <v>1.4815282932970795</v>
      </c>
      <c r="H16" s="40"/>
      <c r="I16" s="40"/>
      <c r="J16" s="40"/>
      <c r="K16" s="40"/>
      <c r="L16" s="40"/>
      <c r="M16" s="41"/>
      <c r="N16" s="40"/>
      <c r="O16" s="41"/>
      <c r="P16" s="40"/>
      <c r="Q16" s="40">
        <v>1</v>
      </c>
      <c r="R16" s="40"/>
      <c r="S16" s="40"/>
      <c r="T16" s="41">
        <v>1</v>
      </c>
      <c r="U16" s="40"/>
      <c r="V16" s="40"/>
      <c r="W16" s="40"/>
      <c r="X16" s="40"/>
      <c r="Y16" s="40"/>
      <c r="AH16" s="23"/>
      <c r="AI16" s="23"/>
      <c r="AL16" s="23"/>
      <c r="AM16" s="23"/>
      <c r="AP16" s="23"/>
      <c r="AQ16" s="23"/>
      <c r="BF16" s="23"/>
      <c r="BG16" s="23"/>
      <c r="BK16" s="23"/>
      <c r="BP16" s="31"/>
      <c r="BT16" s="23"/>
      <c r="BU16" s="23"/>
      <c r="BV16" s="23"/>
      <c r="BW16" s="23"/>
      <c r="BX16" s="28"/>
      <c r="BY16" s="23"/>
      <c r="BZ16" s="28"/>
      <c r="CA16" s="23"/>
      <c r="CB16" s="23"/>
      <c r="CC16" s="23"/>
      <c r="CD16" s="23"/>
      <c r="CE16" s="23"/>
      <c r="CF16" s="23"/>
    </row>
    <row r="17" spans="1:91" x14ac:dyDescent="0.2">
      <c r="A17" t="s">
        <v>44</v>
      </c>
      <c r="C17" t="s">
        <v>35</v>
      </c>
      <c r="D17">
        <v>1</v>
      </c>
      <c r="E17" s="22">
        <f t="shared" si="6"/>
        <v>1.366467607062068</v>
      </c>
      <c r="F17" s="22">
        <f t="shared" si="5"/>
        <v>3.8661064207387734</v>
      </c>
      <c r="G17" s="22">
        <f>F17-E17</f>
        <v>2.4996388136767056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>
        <v>1</v>
      </c>
      <c r="S17" s="40"/>
      <c r="T17" s="40"/>
      <c r="U17" s="40"/>
      <c r="V17" s="40"/>
      <c r="W17" s="40"/>
      <c r="X17" s="40"/>
      <c r="Y17" s="40"/>
      <c r="AA17" s="1"/>
      <c r="AM17" s="29"/>
      <c r="AQ17" s="25"/>
      <c r="AW17" s="23"/>
      <c r="BK17" s="1"/>
      <c r="CF17" s="23"/>
      <c r="CM17" s="32"/>
    </row>
    <row r="18" spans="1:91" x14ac:dyDescent="0.2">
      <c r="A18" t="s">
        <v>56</v>
      </c>
      <c r="C18" t="s">
        <v>35</v>
      </c>
      <c r="D18">
        <v>1</v>
      </c>
      <c r="E18" s="22">
        <f t="shared" si="6"/>
        <v>1.366467607062068</v>
      </c>
      <c r="F18" s="22">
        <f t="shared" si="5"/>
        <v>1.6863808770279982</v>
      </c>
      <c r="G18" s="22">
        <f t="shared" ref="G18:G33" si="8">F18-E18</f>
        <v>0.31991326996593017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>
        <v>1</v>
      </c>
      <c r="W18" s="43"/>
      <c r="X18" s="43"/>
      <c r="Y18" s="40"/>
      <c r="CF18" s="23"/>
    </row>
    <row r="19" spans="1:91" x14ac:dyDescent="0.2">
      <c r="A19" t="s">
        <v>57</v>
      </c>
      <c r="B19" s="1"/>
      <c r="C19" t="s">
        <v>35</v>
      </c>
      <c r="D19">
        <v>1</v>
      </c>
      <c r="E19" s="22">
        <f t="shared" si="6"/>
        <v>1.366467607062068</v>
      </c>
      <c r="F19" s="22">
        <f t="shared" si="5"/>
        <v>3.90848501887865</v>
      </c>
      <c r="G19" s="22">
        <f t="shared" si="8"/>
        <v>2.5420174118165821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>
        <v>1</v>
      </c>
      <c r="T19" s="40"/>
      <c r="U19" s="40"/>
      <c r="V19" s="40"/>
      <c r="W19" s="40"/>
      <c r="X19" s="40"/>
      <c r="Y19" s="40"/>
      <c r="AH19" s="1"/>
      <c r="AI19" s="25"/>
      <c r="CF19" s="23"/>
    </row>
    <row r="20" spans="1:91" x14ac:dyDescent="0.2">
      <c r="A20" t="s">
        <v>58</v>
      </c>
      <c r="C20" t="s">
        <v>35</v>
      </c>
      <c r="D20">
        <v>1</v>
      </c>
      <c r="E20" s="22">
        <f t="shared" si="6"/>
        <v>1.366467607062068</v>
      </c>
      <c r="F20" s="22">
        <f t="shared" si="5"/>
        <v>1.4101744650890493</v>
      </c>
      <c r="G20" s="22">
        <f t="shared" si="8"/>
        <v>4.3706858026981266E-2</v>
      </c>
      <c r="H20" s="40"/>
      <c r="I20" s="40"/>
      <c r="J20" s="40"/>
      <c r="K20" s="40"/>
      <c r="L20" s="40"/>
      <c r="M20" s="40">
        <v>1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spans="1:91" x14ac:dyDescent="0.2">
      <c r="A21" t="s">
        <v>59</v>
      </c>
      <c r="C21" t="s">
        <v>35</v>
      </c>
      <c r="D21">
        <v>2</v>
      </c>
      <c r="E21" s="22">
        <f t="shared" si="6"/>
        <v>2.7329352141241361</v>
      </c>
      <c r="F21" s="22">
        <f t="shared" si="5"/>
        <v>7.0687893054657138</v>
      </c>
      <c r="G21" s="22">
        <f t="shared" si="8"/>
        <v>4.3358540913415773</v>
      </c>
      <c r="H21" s="40"/>
      <c r="I21" s="40">
        <v>1</v>
      </c>
      <c r="J21" s="40"/>
      <c r="K21" s="40"/>
      <c r="L21" s="40"/>
      <c r="M21" s="44"/>
      <c r="N21" s="40"/>
      <c r="O21" s="40"/>
      <c r="P21" s="40"/>
      <c r="Q21" s="40"/>
      <c r="R21" s="40"/>
      <c r="S21" s="40"/>
      <c r="T21" s="44"/>
      <c r="U21" s="40"/>
      <c r="V21" s="40"/>
      <c r="W21" s="40">
        <v>1</v>
      </c>
      <c r="X21" s="40">
        <v>1</v>
      </c>
      <c r="Y21" s="40"/>
      <c r="BF21" s="25"/>
      <c r="BG21" s="25"/>
    </row>
    <row r="22" spans="1:91" x14ac:dyDescent="0.2">
      <c r="A22" t="s">
        <v>60</v>
      </c>
      <c r="B22" s="23"/>
      <c r="C22" t="s">
        <v>35</v>
      </c>
      <c r="D22">
        <v>1</v>
      </c>
      <c r="E22" s="22">
        <f t="shared" si="6"/>
        <v>1.366467607062068</v>
      </c>
      <c r="F22" s="22">
        <f t="shared" si="5"/>
        <v>0.5</v>
      </c>
      <c r="G22" s="22">
        <f t="shared" si="8"/>
        <v>-0.86646760706206805</v>
      </c>
      <c r="H22" s="40"/>
      <c r="I22" s="40"/>
      <c r="J22" s="40"/>
      <c r="K22" s="40"/>
      <c r="L22" s="40"/>
      <c r="M22" s="41"/>
      <c r="N22" s="40">
        <v>1</v>
      </c>
      <c r="O22" s="41"/>
      <c r="P22" s="40"/>
      <c r="Q22" s="40"/>
      <c r="R22" s="40"/>
      <c r="S22" s="40"/>
      <c r="T22" s="41"/>
      <c r="U22" s="40"/>
      <c r="V22" s="40"/>
      <c r="W22" s="40"/>
      <c r="X22" s="40"/>
      <c r="Y22" s="40"/>
      <c r="AH22" s="23"/>
      <c r="AI22" s="23"/>
      <c r="AJ22" s="23"/>
      <c r="AL22" s="23"/>
      <c r="AM22" s="23"/>
      <c r="AP22" s="23"/>
      <c r="AQ22" s="23"/>
      <c r="BF22" s="23"/>
      <c r="BG22" s="23"/>
      <c r="BK22" s="23"/>
      <c r="BP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</row>
    <row r="23" spans="1:91" x14ac:dyDescent="0.2">
      <c r="A23" t="s">
        <v>61</v>
      </c>
      <c r="B23" s="38"/>
      <c r="C23" t="s">
        <v>35</v>
      </c>
      <c r="D23">
        <v>2</v>
      </c>
      <c r="E23" s="22">
        <f>D23*$C$2</f>
        <v>2.7329352141241361</v>
      </c>
      <c r="F23" s="22">
        <f t="shared" si="5"/>
        <v>3.2340832060333682</v>
      </c>
      <c r="G23" s="22">
        <f t="shared" si="8"/>
        <v>0.50114799190923209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>
        <v>1</v>
      </c>
      <c r="X23" s="40"/>
      <c r="Y23" s="40">
        <v>1</v>
      </c>
      <c r="AT23" s="1"/>
      <c r="AU23" s="1"/>
      <c r="AX23" s="1"/>
      <c r="AY23" s="1"/>
      <c r="AZ23" s="25"/>
      <c r="BA23" s="1"/>
      <c r="CF23" s="23"/>
    </row>
    <row r="24" spans="1:91" x14ac:dyDescent="0.2">
      <c r="A24" t="s">
        <v>62</v>
      </c>
      <c r="C24" t="s">
        <v>35</v>
      </c>
      <c r="D24">
        <v>1</v>
      </c>
      <c r="E24" s="22">
        <f t="shared" si="6"/>
        <v>1.366467607062068</v>
      </c>
      <c r="F24" s="22">
        <f t="shared" si="5"/>
        <v>2.8428969742199803</v>
      </c>
      <c r="G24" s="22">
        <f t="shared" si="8"/>
        <v>1.4764293671579123</v>
      </c>
      <c r="H24" s="40"/>
      <c r="I24" s="40"/>
      <c r="J24" s="40"/>
      <c r="K24" s="40"/>
      <c r="L24" s="40"/>
      <c r="M24" s="40"/>
      <c r="N24" s="40"/>
      <c r="O24" s="40"/>
      <c r="P24" s="40">
        <v>1</v>
      </c>
      <c r="Q24" s="40"/>
      <c r="R24" s="40"/>
      <c r="S24" s="40"/>
      <c r="T24" s="40"/>
      <c r="U24" s="40"/>
      <c r="V24" s="40"/>
      <c r="W24" s="40"/>
      <c r="X24" s="40"/>
      <c r="Y24" s="40"/>
      <c r="CF24" s="23"/>
    </row>
    <row r="25" spans="1:91" x14ac:dyDescent="0.2">
      <c r="A25" t="s">
        <v>63</v>
      </c>
      <c r="C25" t="s">
        <v>35</v>
      </c>
      <c r="D25">
        <v>2</v>
      </c>
      <c r="E25" s="22">
        <f t="shared" si="6"/>
        <v>2.7329352141241361</v>
      </c>
      <c r="F25" s="22">
        <f>SUMPRODUCT(H$6:CF$6,H25:CF25)</f>
        <v>6.6892929653612931</v>
      </c>
      <c r="G25" s="22">
        <f t="shared" si="8"/>
        <v>3.956357751237157</v>
      </c>
      <c r="H25" s="40"/>
      <c r="I25" s="40"/>
      <c r="J25" s="40"/>
      <c r="K25" s="40"/>
      <c r="L25" s="40"/>
      <c r="M25" s="40"/>
      <c r="N25" s="40"/>
      <c r="O25" s="40"/>
      <c r="P25" s="40"/>
      <c r="Q25" s="40">
        <v>1</v>
      </c>
      <c r="R25" s="40"/>
      <c r="S25" s="40">
        <v>1</v>
      </c>
      <c r="T25" s="40"/>
      <c r="U25" s="40"/>
      <c r="V25" s="40"/>
      <c r="W25" s="40"/>
      <c r="X25" s="40"/>
      <c r="Y25" s="40"/>
      <c r="CF25" s="23"/>
      <c r="CM25" s="23"/>
    </row>
    <row r="26" spans="1:91" x14ac:dyDescent="0.2">
      <c r="A26" t="s">
        <v>64</v>
      </c>
      <c r="B26" s="23"/>
      <c r="C26" t="s">
        <v>35</v>
      </c>
      <c r="D26">
        <v>2</v>
      </c>
      <c r="E26" s="22">
        <f t="shared" si="6"/>
        <v>2.7329352141241361</v>
      </c>
      <c r="F26" s="22">
        <f t="shared" si="5"/>
        <v>3.4681664120667359</v>
      </c>
      <c r="G26" s="22">
        <f t="shared" si="8"/>
        <v>0.73523119794259983</v>
      </c>
      <c r="H26" s="40"/>
      <c r="I26" s="40"/>
      <c r="J26" s="40"/>
      <c r="K26" s="40"/>
      <c r="L26" s="40"/>
      <c r="M26" s="41"/>
      <c r="N26" s="40"/>
      <c r="O26" s="41"/>
      <c r="P26" s="40"/>
      <c r="Q26" s="40"/>
      <c r="R26" s="40"/>
      <c r="S26" s="40"/>
      <c r="T26" s="41"/>
      <c r="U26" s="40"/>
      <c r="V26" s="40"/>
      <c r="W26" s="40"/>
      <c r="X26" s="40">
        <v>1</v>
      </c>
      <c r="Y26" s="40">
        <v>1</v>
      </c>
      <c r="AH26" s="23"/>
      <c r="AI26" s="23"/>
      <c r="AL26" s="23"/>
      <c r="AM26" s="23"/>
      <c r="AP26" s="23"/>
      <c r="AQ26" s="23"/>
      <c r="BF26" s="23"/>
      <c r="BG26" s="23"/>
      <c r="BK26" s="23"/>
      <c r="BP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M26" s="23"/>
    </row>
    <row r="27" spans="1:91" x14ac:dyDescent="0.2">
      <c r="A27" t="s">
        <v>65</v>
      </c>
      <c r="C27" t="s">
        <v>35</v>
      </c>
      <c r="D27">
        <v>1</v>
      </c>
      <c r="E27" s="22">
        <f t="shared" si="6"/>
        <v>1.366467607062068</v>
      </c>
      <c r="F27" s="22">
        <f t="shared" si="5"/>
        <v>3.9748217453839589</v>
      </c>
      <c r="G27" s="22">
        <f t="shared" si="8"/>
        <v>2.6083541383218911</v>
      </c>
      <c r="H27" s="40"/>
      <c r="I27" s="40"/>
      <c r="J27" s="40"/>
      <c r="K27" s="40"/>
      <c r="L27" s="40">
        <v>1</v>
      </c>
      <c r="M27" s="40"/>
      <c r="N27" s="40"/>
      <c r="O27" s="40"/>
      <c r="P27" s="40"/>
      <c r="Q27" s="40"/>
      <c r="R27" s="40"/>
      <c r="S27" s="40"/>
      <c r="T27" s="45"/>
      <c r="U27" s="40"/>
      <c r="V27" s="40"/>
      <c r="W27" s="40"/>
      <c r="X27" s="40"/>
      <c r="Y27" s="40"/>
      <c r="BF27" s="25"/>
      <c r="BG27" s="25"/>
      <c r="BT27" s="29"/>
      <c r="BU27" s="29"/>
      <c r="BV27" s="29"/>
      <c r="BW27" s="29"/>
      <c r="CM27" s="33"/>
    </row>
    <row r="28" spans="1:91" x14ac:dyDescent="0.2">
      <c r="A28" t="s">
        <v>66</v>
      </c>
      <c r="C28" t="s">
        <v>35</v>
      </c>
      <c r="D28">
        <v>2</v>
      </c>
      <c r="E28" s="22">
        <f t="shared" si="6"/>
        <v>2.7329352141241361</v>
      </c>
      <c r="F28" s="22">
        <f t="shared" si="5"/>
        <v>7.8424171153661595</v>
      </c>
      <c r="G28" s="22">
        <f t="shared" si="8"/>
        <v>5.1094819012420238</v>
      </c>
      <c r="H28" s="40"/>
      <c r="I28" s="40"/>
      <c r="J28" s="40">
        <v>1</v>
      </c>
      <c r="K28" s="40">
        <v>1</v>
      </c>
      <c r="L28" s="40"/>
      <c r="M28" s="40"/>
      <c r="N28" s="40"/>
      <c r="O28" s="40"/>
      <c r="P28" s="40"/>
      <c r="Q28" s="40"/>
      <c r="R28" s="40"/>
      <c r="S28" s="40"/>
      <c r="T28" s="45"/>
      <c r="U28" s="40"/>
      <c r="V28" s="40"/>
      <c r="W28" s="40"/>
      <c r="X28" s="40"/>
      <c r="Y28" s="40"/>
      <c r="AL28" s="29"/>
      <c r="BF28" s="29"/>
      <c r="BG28" s="29"/>
    </row>
    <row r="29" spans="1:91" x14ac:dyDescent="0.2">
      <c r="A29" t="s">
        <v>67</v>
      </c>
      <c r="C29" t="s">
        <v>35</v>
      </c>
      <c r="D29">
        <v>2</v>
      </c>
      <c r="E29" s="22">
        <f t="shared" si="6"/>
        <v>2.7329352141241361</v>
      </c>
      <c r="F29" s="22">
        <f t="shared" si="5"/>
        <v>3.443342828341704</v>
      </c>
      <c r="G29" s="22">
        <f t="shared" si="8"/>
        <v>0.71040761421756793</v>
      </c>
      <c r="H29" s="40"/>
      <c r="I29" s="40"/>
      <c r="J29" s="40"/>
      <c r="K29" s="40"/>
      <c r="L29" s="40"/>
      <c r="M29" s="40"/>
      <c r="N29" s="40"/>
      <c r="O29" s="40">
        <v>1</v>
      </c>
      <c r="P29" s="40"/>
      <c r="Q29" s="40"/>
      <c r="R29" s="40"/>
      <c r="S29" s="40"/>
      <c r="T29" s="40"/>
      <c r="U29" s="40"/>
      <c r="V29" s="40">
        <v>1</v>
      </c>
      <c r="W29" s="40"/>
      <c r="X29" s="40"/>
      <c r="Y29" s="40"/>
      <c r="AE29" s="29"/>
      <c r="AG29" s="23"/>
      <c r="BS29" s="25"/>
      <c r="CF29" s="23"/>
      <c r="CM29" s="23"/>
    </row>
    <row r="30" spans="1:91" x14ac:dyDescent="0.2">
      <c r="A30" t="s">
        <v>68</v>
      </c>
      <c r="C30" t="s">
        <v>35</v>
      </c>
      <c r="D30">
        <v>1</v>
      </c>
      <c r="E30" s="22">
        <f t="shared" si="6"/>
        <v>1.366467607062068</v>
      </c>
      <c r="F30" s="22">
        <f t="shared" si="5"/>
        <v>3.8661064207387734</v>
      </c>
      <c r="G30" s="22">
        <f t="shared" si="8"/>
        <v>2.4996388136767056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>
        <v>1</v>
      </c>
      <c r="S30" s="40"/>
      <c r="T30" s="40"/>
      <c r="U30" s="40"/>
      <c r="V30" s="40"/>
      <c r="W30" s="40"/>
      <c r="X30" s="40"/>
      <c r="Y30" s="40"/>
      <c r="BV30" s="29"/>
      <c r="CA30" s="1"/>
      <c r="CD30" s="1"/>
      <c r="CF30" s="23"/>
    </row>
    <row r="31" spans="1:91" x14ac:dyDescent="0.2">
      <c r="E31" s="22"/>
      <c r="F31" s="22"/>
      <c r="G31" s="22"/>
      <c r="S31" s="29"/>
      <c r="AE31" s="23"/>
      <c r="CM31" s="23"/>
    </row>
    <row r="32" spans="1:91" x14ac:dyDescent="0.2">
      <c r="B32" s="1" t="str">
        <f>TEXT(COUNTA(A9:A49),"0")&amp;" bodies"</f>
        <v>22 bodies</v>
      </c>
      <c r="C32" s="1" t="s">
        <v>45</v>
      </c>
      <c r="D32" s="1">
        <f>SUM(D9:D30)</f>
        <v>33</v>
      </c>
      <c r="E32" s="22"/>
      <c r="F32" s="22"/>
      <c r="G32" s="22"/>
      <c r="H32" s="25"/>
      <c r="I32" s="1"/>
      <c r="CF32" s="23"/>
      <c r="CM32" s="23"/>
    </row>
    <row r="33" spans="2:91" x14ac:dyDescent="0.2">
      <c r="E33" s="22"/>
      <c r="F33" s="22"/>
      <c r="G33" s="22"/>
      <c r="AZ33" s="29"/>
      <c r="BI33" s="1"/>
      <c r="BN33" s="1"/>
      <c r="CF33" s="23"/>
      <c r="CM33" s="23"/>
    </row>
    <row r="34" spans="2:91" x14ac:dyDescent="0.2">
      <c r="E34" s="22"/>
      <c r="F34" s="22"/>
      <c r="G34" s="22"/>
      <c r="S34" s="1"/>
      <c r="AW34" s="1"/>
      <c r="CM34" s="23"/>
    </row>
    <row r="35" spans="2:91" x14ac:dyDescent="0.2">
      <c r="E35" s="22"/>
      <c r="F35" s="22"/>
      <c r="G35" s="22"/>
      <c r="BT35" s="25"/>
      <c r="BU35" s="25"/>
      <c r="BV35" s="29"/>
      <c r="BW35" s="25"/>
    </row>
    <row r="36" spans="2:91" x14ac:dyDescent="0.2">
      <c r="E36" s="22"/>
      <c r="F36" s="22"/>
      <c r="G36" s="22"/>
      <c r="AL36" s="25"/>
      <c r="AP36" s="25"/>
      <c r="AQ36" s="25"/>
      <c r="BJ36" s="1"/>
      <c r="CF36" s="23"/>
    </row>
    <row r="37" spans="2:91" x14ac:dyDescent="0.2">
      <c r="E37" s="22"/>
      <c r="F37" s="22"/>
      <c r="G37" s="22"/>
      <c r="J37" s="1"/>
      <c r="CF37" s="23"/>
    </row>
    <row r="38" spans="2:91" x14ac:dyDescent="0.2">
      <c r="E38" s="22"/>
      <c r="F38" s="22"/>
      <c r="G38" s="22"/>
      <c r="Z38" s="1"/>
      <c r="AE38" s="23"/>
      <c r="BO38" s="1"/>
      <c r="CM38" s="23"/>
    </row>
    <row r="39" spans="2:91" x14ac:dyDescent="0.2">
      <c r="B39" s="38"/>
      <c r="E39" s="22"/>
      <c r="F39" s="22"/>
      <c r="G39" s="22"/>
      <c r="U39" s="1"/>
      <c r="AE39" s="34"/>
      <c r="AP39" s="29"/>
      <c r="AQ39" s="25"/>
      <c r="CF39" s="23"/>
    </row>
    <row r="40" spans="2:91" x14ac:dyDescent="0.2">
      <c r="E40" s="22"/>
      <c r="F40" s="22"/>
      <c r="G40" s="22"/>
      <c r="O40" s="1"/>
      <c r="AB40" s="25"/>
      <c r="AE40" s="23"/>
      <c r="AM40" s="25"/>
      <c r="CF40" s="23"/>
    </row>
    <row r="41" spans="2:91" x14ac:dyDescent="0.2">
      <c r="B41" s="38"/>
      <c r="E41" s="22"/>
      <c r="F41" s="22"/>
      <c r="G41" s="22"/>
      <c r="BB41" s="1"/>
      <c r="BC41" s="1"/>
      <c r="BM41" s="1"/>
      <c r="CM41" s="23"/>
    </row>
    <row r="42" spans="2:91" x14ac:dyDescent="0.2">
      <c r="E42" s="22"/>
      <c r="F42" s="22"/>
      <c r="G42" s="22"/>
      <c r="P42" s="35"/>
      <c r="AV42" s="1"/>
      <c r="AW42" s="36"/>
    </row>
    <row r="43" spans="2:91" x14ac:dyDescent="0.2">
      <c r="E43" s="22"/>
      <c r="F43" s="22"/>
      <c r="G43" s="22"/>
      <c r="L43" s="1"/>
      <c r="AD43" s="1"/>
    </row>
    <row r="44" spans="2:91" x14ac:dyDescent="0.2">
      <c r="E44" s="22"/>
      <c r="F44" s="22"/>
      <c r="G44" s="22"/>
      <c r="V44" s="25"/>
      <c r="BL44" s="1"/>
    </row>
    <row r="45" spans="2:91" x14ac:dyDescent="0.2">
      <c r="E45" s="26"/>
      <c r="F45" s="26"/>
      <c r="G45" s="26"/>
      <c r="N45" s="1"/>
      <c r="AJ45" s="29"/>
      <c r="AK45" s="29"/>
      <c r="CF45" s="23"/>
    </row>
    <row r="46" spans="2:91" x14ac:dyDescent="0.2">
      <c r="B46" s="23"/>
      <c r="D46" s="23"/>
      <c r="E46" s="26"/>
      <c r="F46" s="26"/>
      <c r="G46" s="26"/>
      <c r="H46" s="29"/>
      <c r="M46" s="23"/>
      <c r="O46" s="23"/>
      <c r="T46" s="23"/>
      <c r="AH46" s="23"/>
      <c r="AI46" s="23"/>
      <c r="AL46" s="23"/>
      <c r="AM46" s="23"/>
      <c r="BF46" s="23"/>
      <c r="BG46" s="23"/>
      <c r="BK46" s="23"/>
      <c r="BP46" s="23"/>
      <c r="BT46" s="23"/>
      <c r="BU46" s="23"/>
      <c r="BV46" s="23"/>
      <c r="BW46" s="23"/>
      <c r="BX46" s="23"/>
      <c r="BY46" s="28"/>
      <c r="BZ46" s="23"/>
      <c r="CA46" s="23"/>
      <c r="CB46" s="23"/>
      <c r="CC46" s="23"/>
      <c r="CD46" s="23"/>
      <c r="CE46" s="23"/>
      <c r="CF46" s="23"/>
    </row>
    <row r="47" spans="2:91" x14ac:dyDescent="0.2">
      <c r="E47" s="22"/>
      <c r="F47" s="22"/>
      <c r="G47" s="22"/>
      <c r="BU47" s="29"/>
      <c r="CB47" s="1"/>
      <c r="CF47" s="28"/>
    </row>
    <row r="48" spans="2:91" x14ac:dyDescent="0.2">
      <c r="E48" s="22"/>
      <c r="F48" s="22"/>
      <c r="G48" s="22"/>
      <c r="M48" s="25"/>
      <c r="T48" s="25"/>
      <c r="BF48" s="25"/>
      <c r="BG48" s="25"/>
      <c r="CF48" s="23"/>
    </row>
    <row r="49" spans="1:7" x14ac:dyDescent="0.2">
      <c r="A49" s="37"/>
      <c r="E49" s="22"/>
      <c r="F49" s="22"/>
      <c r="G49" s="22"/>
    </row>
  </sheetData>
  <phoneticPr fontId="9" type="noConversion"/>
  <conditionalFormatting sqref="AB8:AC8 AF8 BG8:BW8 CA8:CD8 AH8:BD8 CM8:CN8 H8:Y8">
    <cfRule type="expression" dxfId="23" priority="2">
      <formula>H8&lt;0</formula>
    </cfRule>
    <cfRule type="expression" dxfId="22" priority="3">
      <formula>H8&gt;0</formula>
    </cfRule>
  </conditionalFormatting>
  <conditionalFormatting sqref="G9:G39 G49">
    <cfRule type="colorScale" priority="4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BX8:BY8">
    <cfRule type="expression" dxfId="21" priority="5">
      <formula>BX8&lt;0</formula>
    </cfRule>
    <cfRule type="expression" dxfId="20" priority="6">
      <formula>BX8&gt;0</formula>
    </cfRule>
  </conditionalFormatting>
  <conditionalFormatting sqref="CO8 CD8:CF8">
    <cfRule type="expression" dxfId="19" priority="7">
      <formula>CD8&lt;0</formula>
    </cfRule>
    <cfRule type="expression" dxfId="18" priority="8">
      <formula>CD8&gt;0</formula>
    </cfRule>
  </conditionalFormatting>
  <conditionalFormatting sqref="Z8:AA8">
    <cfRule type="expression" dxfId="13" priority="13">
      <formula>Z8&lt;0</formula>
    </cfRule>
    <cfRule type="expression" dxfId="12" priority="14">
      <formula>Z8&gt;0</formula>
    </cfRule>
  </conditionalFormatting>
  <conditionalFormatting sqref="AE8">
    <cfRule type="expression" dxfId="11" priority="15">
      <formula>AE8&lt;0</formula>
    </cfRule>
    <cfRule type="expression" dxfId="10" priority="16">
      <formula>AE8&gt;0</formula>
    </cfRule>
  </conditionalFormatting>
  <conditionalFormatting sqref="AD8">
    <cfRule type="expression" dxfId="9" priority="17">
      <formula>AD8&lt;0</formula>
    </cfRule>
    <cfRule type="expression" dxfId="8" priority="18">
      <formula>AD8&gt;0</formula>
    </cfRule>
  </conditionalFormatting>
  <conditionalFormatting sqref="BE8">
    <cfRule type="expression" dxfId="7" priority="19">
      <formula>BE8&lt;0</formula>
    </cfRule>
    <cfRule type="expression" dxfId="6" priority="20">
      <formula>BE8&gt;0</formula>
    </cfRule>
  </conditionalFormatting>
  <conditionalFormatting sqref="BF8">
    <cfRule type="expression" dxfId="5" priority="21">
      <formula>BF8&lt;0</formula>
    </cfRule>
    <cfRule type="expression" dxfId="4" priority="22">
      <formula>BF8&gt;0</formula>
    </cfRule>
  </conditionalFormatting>
  <conditionalFormatting sqref="AG8">
    <cfRule type="expression" dxfId="3" priority="24">
      <formula>AG8&lt;0</formula>
    </cfRule>
    <cfRule type="expression" dxfId="2" priority="25">
      <formula>AG8&gt;0</formula>
    </cfRule>
  </conditionalFormatting>
  <conditionalFormatting sqref="BZ8">
    <cfRule type="expression" dxfId="1" priority="26">
      <formula>BZ8&lt;0</formula>
    </cfRule>
    <cfRule type="expression" dxfId="0" priority="27">
      <formula>BZ8&gt;0</formula>
    </cfRule>
  </conditionalFormatting>
  <conditionalFormatting sqref="G42">
    <cfRule type="colorScale" priority="28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5">
    <cfRule type="colorScale" priority="30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4">
    <cfRule type="colorScale" priority="31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7">
    <cfRule type="colorScale" priority="32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3">
    <cfRule type="colorScale" priority="33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0">
    <cfRule type="colorScale" priority="34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1">
    <cfRule type="colorScale" priority="35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8">
    <cfRule type="colorScale" priority="36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conditionalFormatting sqref="G46">
    <cfRule type="colorScale" priority="37">
      <colorScale>
        <cfvo type="num" val="-1.5"/>
        <cfvo type="num" val="0"/>
        <cfvo type="num" val="1.5"/>
        <color rgb="FFFF0000"/>
        <color rgb="FFFFFFFF"/>
        <color rgb="FF00B050"/>
      </colorScale>
    </cfRule>
  </conditionalFormatting>
  <pageMargins left="0.25" right="0.25" top="0.75" bottom="0.75" header="0.51180555555555496" footer="0.51180555555555496"/>
  <pageSetup paperSize="8" scale="45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200" zoomScaleNormal="200" workbookViewId="0">
      <selection activeCell="A3" activeCellId="1" sqref="X7:X8 A3"/>
    </sheetView>
  </sheetViews>
  <sheetFormatPr baseColWidth="10" defaultColWidth="8.5" defaultRowHeight="15" x14ac:dyDescent="0.2"/>
  <sheetData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200" zoomScaleNormal="200" workbookViewId="0">
      <selection activeCellId="1" sqref="X7:X8 A1"/>
    </sheetView>
  </sheetViews>
  <sheetFormatPr baseColWidth="10" defaultColWidth="8.5" defaultRowHeight="15" x14ac:dyDescent="0.2"/>
  <sheetData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Allocation</vt:lpstr>
      <vt:lpstr>Sheet1</vt:lpstr>
      <vt:lpstr>Sheet2</vt:lpstr>
    </vt:vector>
  </TitlesOfParts>
  <Company>QUT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 Wyeth</dc:creator>
  <dc:description/>
  <cp:lastModifiedBy>Ian Vermeulen</cp:lastModifiedBy>
  <cp:revision>3</cp:revision>
  <cp:lastPrinted>2020-05-06T00:37:26Z</cp:lastPrinted>
  <dcterms:created xsi:type="dcterms:W3CDTF">2012-01-11T02:44:51Z</dcterms:created>
  <dcterms:modified xsi:type="dcterms:W3CDTF">2022-05-08T05:06:26Z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QUT</vt:lpwstr>
  </property>
  <property fmtid="{D5CDD505-2E9C-101B-9397-08002B2CF9AE}" pid="4" name="ContentTypeId">
    <vt:lpwstr>0x0101005144375E58E94B4797547602088A153E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