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335"/>
  </bookViews>
  <sheets>
    <sheet name="Allocation" sheetId="1" r:id="rId1"/>
    <sheet name="Sheet1" sheetId="7" r:id="rId2"/>
    <sheet name="Sheet2" sheetId="9" r:id="rId3"/>
  </sheets>
  <calcPr calcId="144525"/>
</workbook>
</file>

<file path=xl/sharedStrings.xml><?xml version="1.0" encoding="utf-8"?>
<sst xmlns="http://schemas.openxmlformats.org/spreadsheetml/2006/main" count="302" uniqueCount="199">
  <si>
    <t>Code</t>
  </si>
  <si>
    <t>CAB201</t>
  </si>
  <si>
    <t>CAB202</t>
  </si>
  <si>
    <t>CAB203</t>
  </si>
  <si>
    <t>CAB210</t>
  </si>
  <si>
    <t>CAB220</t>
  </si>
  <si>
    <t>CAB230</t>
  </si>
  <si>
    <t>CAB240</t>
  </si>
  <si>
    <t>CAB301</t>
  </si>
  <si>
    <t>CAB302</t>
  </si>
  <si>
    <t>CAB303</t>
  </si>
  <si>
    <t>CAB310</t>
  </si>
  <si>
    <t>CAB330</t>
  </si>
  <si>
    <t>CAB340</t>
  </si>
  <si>
    <t>CAB401</t>
  </si>
  <si>
    <t>CAB402</t>
  </si>
  <si>
    <t>CAB403</t>
  </si>
  <si>
    <t xml:space="preserve">CAB430 </t>
  </si>
  <si>
    <t>CAB431</t>
  </si>
  <si>
    <t>CAB432</t>
  </si>
  <si>
    <t>CAB440</t>
  </si>
  <si>
    <t>CAB441</t>
  </si>
  <si>
    <t>ENN523</t>
  </si>
  <si>
    <t>ENN524</t>
  </si>
  <si>
    <t>ENN541</t>
  </si>
  <si>
    <t>IFB102</t>
  </si>
  <si>
    <t>IFB104</t>
  </si>
  <si>
    <t>IFB398</t>
  </si>
  <si>
    <t>IFN507</t>
  </si>
  <si>
    <t>IFN507/IFQ507</t>
  </si>
  <si>
    <t>IFN509</t>
  </si>
  <si>
    <r>
      <rPr>
        <sz val="11"/>
        <color theme="1"/>
        <rFont val="Calibri"/>
        <charset val="134"/>
        <scheme val="minor"/>
      </rPr>
      <t xml:space="preserve">IFN509 / </t>
    </r>
    <r>
      <rPr>
        <sz val="11"/>
        <color rgb="FFC00000"/>
        <rFont val="Calibri"/>
        <charset val="134"/>
        <scheme val="minor"/>
      </rPr>
      <t>IFQ509</t>
    </r>
  </si>
  <si>
    <t>IFN541</t>
  </si>
  <si>
    <t>IFN541 / IFQ541</t>
  </si>
  <si>
    <t>IFN551/IFQ551</t>
  </si>
  <si>
    <t>IFN553/IFQ553</t>
  </si>
  <si>
    <t>IFN555/IFQ555</t>
  </si>
  <si>
    <t>IFN556/IFQ556</t>
  </si>
  <si>
    <t>IFN563</t>
  </si>
  <si>
    <r>
      <rPr>
        <sz val="11"/>
        <color theme="1"/>
        <rFont val="Calibri"/>
        <charset val="134"/>
        <scheme val="minor"/>
      </rPr>
      <t xml:space="preserve">IFN563 / </t>
    </r>
    <r>
      <rPr>
        <sz val="11"/>
        <color rgb="FFC00000"/>
        <rFont val="Calibri"/>
        <charset val="134"/>
        <scheme val="minor"/>
      </rPr>
      <t>IFQ563</t>
    </r>
  </si>
  <si>
    <t>IFN564</t>
  </si>
  <si>
    <r>
      <rPr>
        <sz val="11"/>
        <color theme="1"/>
        <rFont val="Calibri"/>
        <charset val="134"/>
        <scheme val="minor"/>
      </rPr>
      <t xml:space="preserve">IFN564 / </t>
    </r>
    <r>
      <rPr>
        <sz val="11"/>
        <color rgb="FFC00000"/>
        <rFont val="Calibri"/>
        <charset val="134"/>
        <scheme val="minor"/>
      </rPr>
      <t>IFQ564</t>
    </r>
  </si>
  <si>
    <t>IFN591</t>
  </si>
  <si>
    <r>
      <rPr>
        <sz val="11"/>
        <color theme="1"/>
        <rFont val="Calibri"/>
        <charset val="134"/>
        <scheme val="minor"/>
      </rPr>
      <t xml:space="preserve">IFN591 / </t>
    </r>
    <r>
      <rPr>
        <sz val="11"/>
        <color rgb="FFC00000"/>
        <rFont val="Calibri"/>
        <charset val="134"/>
        <scheme val="minor"/>
      </rPr>
      <t>IFQ591</t>
    </r>
  </si>
  <si>
    <t>IFN644</t>
  </si>
  <si>
    <t>IFN645</t>
  </si>
  <si>
    <t>IFN646</t>
  </si>
  <si>
    <t>IFN647</t>
  </si>
  <si>
    <t>IFN648</t>
  </si>
  <si>
    <t>IFN657</t>
  </si>
  <si>
    <t>IFN666</t>
  </si>
  <si>
    <t>IFN680</t>
  </si>
  <si>
    <t>IFN692</t>
  </si>
  <si>
    <t>IFN703</t>
  </si>
  <si>
    <t>IFN704</t>
  </si>
  <si>
    <t>IFN712</t>
  </si>
  <si>
    <t>IGB100</t>
  </si>
  <si>
    <t>IGB180</t>
  </si>
  <si>
    <t>IGB181</t>
  </si>
  <si>
    <t>IGB200</t>
  </si>
  <si>
    <t>IGB220</t>
  </si>
  <si>
    <t>IGB283</t>
  </si>
  <si>
    <t>IGB300</t>
  </si>
  <si>
    <t>IGB301</t>
  </si>
  <si>
    <t>IGB320</t>
  </si>
  <si>
    <t>IGB321</t>
  </si>
  <si>
    <t>IGB381</t>
  </si>
  <si>
    <t>IGB383</t>
  </si>
  <si>
    <t>IGB400</t>
  </si>
  <si>
    <t>IFN664</t>
  </si>
  <si>
    <t>CAB420</t>
  </si>
  <si>
    <t>CAB320</t>
  </si>
  <si>
    <t>Standard Load:</t>
  </si>
  <si>
    <t>Name</t>
  </si>
  <si>
    <t>Programming Principles</t>
  </si>
  <si>
    <t>Micro Proc and Dig Sys</t>
  </si>
  <si>
    <t>Discrete Structures</t>
  </si>
  <si>
    <t>People Context &amp; Tech</t>
  </si>
  <si>
    <t>Fund of Data Science</t>
  </si>
  <si>
    <t>Web Computing</t>
  </si>
  <si>
    <t>Information Security</t>
  </si>
  <si>
    <t>Algorithms &amp; Complexity</t>
  </si>
  <si>
    <t>Software Development</t>
  </si>
  <si>
    <t>Networks</t>
  </si>
  <si>
    <t>Interaction &amp; Experience Design</t>
  </si>
  <si>
    <t>Data and Web Analytics</t>
  </si>
  <si>
    <t>Cryptography</t>
  </si>
  <si>
    <t>High Performance and Parallel Computing</t>
  </si>
  <si>
    <t>Programming Paradigms</t>
  </si>
  <si>
    <t>Systems Programming</t>
  </si>
  <si>
    <t>Data and Information Integration</t>
  </si>
  <si>
    <t>Search Engine Technology</t>
  </si>
  <si>
    <t>Cloud Computing</t>
  </si>
  <si>
    <t>Network and Security Administration</t>
  </si>
  <si>
    <t>Network Security</t>
  </si>
  <si>
    <t>Advanced Network Engineering</t>
  </si>
  <si>
    <t>Mobile Network Engineering</t>
  </si>
  <si>
    <t>Research Methods for Engineers</t>
  </si>
  <si>
    <t>Comp Tech Fundamentals</t>
  </si>
  <si>
    <t>Building IT Systems</t>
  </si>
  <si>
    <t>Capstone (Phase 1)</t>
  </si>
  <si>
    <t>Network Systems</t>
  </si>
  <si>
    <t>Data Exploration and Mining</t>
  </si>
  <si>
    <t>Information Security Management</t>
  </si>
  <si>
    <t>Computer Systems Fundamentals</t>
  </si>
  <si>
    <t>Intro Cyber Security &amp; Networks</t>
  </si>
  <si>
    <t>Introduction to Programming</t>
  </si>
  <si>
    <t>Object Oriented Programming</t>
  </si>
  <si>
    <t>Object Oriented Design</t>
  </si>
  <si>
    <t>Data Structures and Algorithms</t>
  </si>
  <si>
    <t>Principles of UX</t>
  </si>
  <si>
    <t>Network Operations and Security</t>
  </si>
  <si>
    <t>Large Scale Data Mining</t>
  </si>
  <si>
    <t>Biomedical Data Science</t>
  </si>
  <si>
    <t>Text, Web and Media Analytics</t>
  </si>
  <si>
    <t>Applied Crytography</t>
  </si>
  <si>
    <t>Principles of Software Security</t>
  </si>
  <si>
    <t>Web &amp; Mobile App Development</t>
  </si>
  <si>
    <t>Advanced Topics in AI</t>
  </si>
  <si>
    <t>Interaction Design for Emerging Tech</t>
  </si>
  <si>
    <t>Advanced Project</t>
  </si>
  <si>
    <t>Research in IT Practice</t>
  </si>
  <si>
    <t>Game Studio 1</t>
  </si>
  <si>
    <t>Computer Games Studies</t>
  </si>
  <si>
    <t>Game Production and Technology</t>
  </si>
  <si>
    <t>Game Studio 2</t>
  </si>
  <si>
    <t>Fundamentals of game Design</t>
  </si>
  <si>
    <t>Game Engine Theory and Application</t>
  </si>
  <si>
    <t>Capstone (Game Design)</t>
  </si>
  <si>
    <t>Capstone (Game Development)</t>
  </si>
  <si>
    <t>Game Design in Different Contexts</t>
  </si>
  <si>
    <t>Immersive Game Level Design</t>
  </si>
  <si>
    <t>Game Engine Technology</t>
  </si>
  <si>
    <t>AI for Games</t>
  </si>
  <si>
    <t>Game Studio 3</t>
  </si>
  <si>
    <t>Adv Algorithms &amp; Comp Complexity</t>
  </si>
  <si>
    <t>Machine Learning</t>
  </si>
  <si>
    <t>Artificial Intelligence</t>
  </si>
  <si>
    <t>Sem</t>
  </si>
  <si>
    <t>1 &amp; 2</t>
  </si>
  <si>
    <t>Students</t>
  </si>
  <si>
    <t>Share</t>
  </si>
  <si>
    <t>Minimum Load:</t>
  </si>
  <si>
    <t>Assigned Load</t>
  </si>
  <si>
    <t>Total:</t>
  </si>
  <si>
    <t>Allocated Load</t>
  </si>
  <si>
    <t>Academic</t>
  </si>
  <si>
    <t>Academic Preferences</t>
  </si>
  <si>
    <t>School</t>
  </si>
  <si>
    <t>Load</t>
  </si>
  <si>
    <t>Unit Load</t>
  </si>
  <si>
    <t>Actual Load</t>
  </si>
  <si>
    <t>Load Error</t>
  </si>
  <si>
    <t xml:space="preserve">Dr First Academic </t>
  </si>
  <si>
    <t>CS</t>
  </si>
  <si>
    <t xml:space="preserve">Dr Second Academic </t>
  </si>
  <si>
    <t xml:space="preserve">Dr Third Academic </t>
  </si>
  <si>
    <t xml:space="preserve">Dr Fourth Academic </t>
  </si>
  <si>
    <t xml:space="preserve">Dr Fifth Academic </t>
  </si>
  <si>
    <t xml:space="preserve">Dr Sixth Academic </t>
  </si>
  <si>
    <t xml:space="preserve">Dr Seventh Academic </t>
  </si>
  <si>
    <t xml:space="preserve">Dr Eighth Academic </t>
  </si>
  <si>
    <t xml:space="preserve">Dr Nineth Academic </t>
  </si>
  <si>
    <t>CAB101</t>
  </si>
  <si>
    <t xml:space="preserve">Dr Tenth Academic </t>
  </si>
  <si>
    <t xml:space="preserve">D First Academic </t>
  </si>
  <si>
    <t xml:space="preserve">D Second Academic </t>
  </si>
  <si>
    <t xml:space="preserve">D Third Academic </t>
  </si>
  <si>
    <t xml:space="preserve">D Fourth Academic </t>
  </si>
  <si>
    <t xml:space="preserve">D Fifth Academic </t>
  </si>
  <si>
    <t>CAB102</t>
  </si>
  <si>
    <t xml:space="preserve">D Sixth Academic </t>
  </si>
  <si>
    <t xml:space="preserve">D Seventh Academic </t>
  </si>
  <si>
    <t xml:space="preserve">D Eighth Academic </t>
  </si>
  <si>
    <t xml:space="preserve">D Nineth Academic </t>
  </si>
  <si>
    <t xml:space="preserve">D Tenth Academic </t>
  </si>
  <si>
    <t xml:space="preserve">r First Academic </t>
  </si>
  <si>
    <t xml:space="preserve">r Second Academic </t>
  </si>
  <si>
    <t xml:space="preserve">r Third Academic </t>
  </si>
  <si>
    <t xml:space="preserve">r Fourth Academic </t>
  </si>
  <si>
    <t xml:space="preserve">r Fifth Academic </t>
  </si>
  <si>
    <t xml:space="preserve">r Sixth Academic </t>
  </si>
  <si>
    <t xml:space="preserve">r Seventh Academic </t>
  </si>
  <si>
    <t xml:space="preserve">r Eighth Academic </t>
  </si>
  <si>
    <t xml:space="preserve">r Nineth Academic </t>
  </si>
  <si>
    <t xml:space="preserve">r Tenth Academic </t>
  </si>
  <si>
    <t xml:space="preserve">Drs First Academic </t>
  </si>
  <si>
    <t xml:space="preserve">Drs Second Academic </t>
  </si>
  <si>
    <t xml:space="preserve">Drs Third Academic </t>
  </si>
  <si>
    <t xml:space="preserve">Drs Fourth Academic </t>
  </si>
  <si>
    <t xml:space="preserve">Drs Fifth Academic </t>
  </si>
  <si>
    <t xml:space="preserve">Drs Sixth Academic </t>
  </si>
  <si>
    <t xml:space="preserve">Drs Seventh Academic </t>
  </si>
  <si>
    <t xml:space="preserve">Drs Eighth Academic </t>
  </si>
  <si>
    <t xml:space="preserve">Drs Nineth Academic </t>
  </si>
  <si>
    <t xml:space="preserve">Drs Tenth Academic </t>
  </si>
  <si>
    <t>Total</t>
  </si>
  <si>
    <t>ENN590 / ENN541</t>
  </si>
  <si>
    <t>MAB461?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</si>
</sst>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76" formatCode="0.0"/>
    <numFmt numFmtId="44" formatCode="_-&quot;$&quot;* #,##0.00_-;\-&quot;$&quot;* #,##0.00_-;_-&quot;$&quot;* &quot;-&quot;??_-;_-@_-"/>
    <numFmt numFmtId="41" formatCode="_-* #,##0_-;\-* #,##0_-;_-* &quot;-&quot;_-;_-@_-"/>
    <numFmt numFmtId="42" formatCode="_-&quot;$&quot;* #,##0_-;\-&quot;$&quot;* #,##0_-;_-&quot;$&quot;* &quot;-&quot;_-;_-@_-"/>
  </numFmts>
  <fonts count="27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rgb="FFC00000"/>
      <name val="Calibri"/>
      <charset val="134"/>
      <scheme val="minor"/>
    </font>
    <font>
      <sz val="11"/>
      <color rgb="FFC00000"/>
      <name val="Calibri"/>
      <charset val="134"/>
      <scheme val="minor"/>
    </font>
    <font>
      <sz val="11"/>
      <color rgb="FFFF0000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134"/>
      <scheme val="minor"/>
    </font>
    <font>
      <sz val="9"/>
      <name val="Arial"/>
      <charset val="134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0" fontId="11" fillId="5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8" fillId="11" borderId="6" applyNumberFormat="0" applyFon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7" borderId="2" applyNumberFormat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6" fillId="2" borderId="2" applyNumberFormat="0" applyAlignment="0" applyProtection="0"/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9" fillId="0" borderId="0"/>
    <xf numFmtId="0" fontId="11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9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textRotation="180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 textRotation="180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Fill="1"/>
    <xf numFmtId="176" fontId="0" fillId="0" borderId="0" xfId="0" applyNumberFormat="1"/>
    <xf numFmtId="0" fontId="2" fillId="0" borderId="1" xfId="0" applyFont="1" applyBorder="1"/>
    <xf numFmtId="0" fontId="0" fillId="0" borderId="0" xfId="0" applyFill="1"/>
    <xf numFmtId="0" fontId="0" fillId="0" borderId="0" xfId="0" applyFill="1" applyBorder="1"/>
    <xf numFmtId="0" fontId="0" fillId="0" borderId="0" xfId="0" applyBorder="1"/>
    <xf numFmtId="176" fontId="0" fillId="0" borderId="0" xfId="0" applyNumberFormat="1" applyBorder="1"/>
    <xf numFmtId="0" fontId="0" fillId="0" borderId="0" xfId="0" applyFill="1" applyBorder="1"/>
    <xf numFmtId="0" fontId="2" fillId="0" borderId="0" xfId="0" applyFont="1"/>
    <xf numFmtId="0" fontId="3" fillId="0" borderId="0" xfId="0" applyFont="1"/>
    <xf numFmtId="0" fontId="4" fillId="0" borderId="0" xfId="0" applyFont="1" applyFill="1"/>
    <xf numFmtId="0" fontId="0" fillId="0" borderId="0" xfId="0" applyFill="1" applyAlignment="1">
      <alignment horizontal="center" vertical="center" textRotation="180"/>
    </xf>
    <xf numFmtId="176" fontId="3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" xfId="0" applyBorder="1"/>
    <xf numFmtId="0" fontId="0" fillId="0" borderId="0" xfId="0" applyFont="1" applyFill="1" applyAlignment="1">
      <alignment horizontal="center" vertical="center" textRotation="180"/>
    </xf>
    <xf numFmtId="0" fontId="0" fillId="0" borderId="0" xfId="0" applyNumberFormat="1" applyAlignment="1">
      <alignment horizontal="center" vertical="center"/>
    </xf>
    <xf numFmtId="0" fontId="5" fillId="0" borderId="0" xfId="0" applyFont="1" applyBorder="1"/>
    <xf numFmtId="0" fontId="3" fillId="0" borderId="0" xfId="0" applyFont="1" applyBorder="1"/>
    <xf numFmtId="0" fontId="2" fillId="0" borderId="0" xfId="0" applyFont="1" applyBorder="1"/>
    <xf numFmtId="0" fontId="1" fillId="0" borderId="0" xfId="0" applyFont="1" applyBorder="1"/>
    <xf numFmtId="0" fontId="0" fillId="0" borderId="0" xfId="0" applyBorder="1" applyAlignment="1">
      <alignment horizontal="center" vertical="center" textRotation="180"/>
    </xf>
    <xf numFmtId="0" fontId="0" fillId="0" borderId="0" xfId="0" applyBorder="1" applyAlignment="1">
      <alignment horizontal="center" vertical="center" textRotation="180" wrapText="1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6" fillId="2" borderId="0" xfId="26" applyBorder="1"/>
    <xf numFmtId="0" fontId="0" fillId="0" borderId="2" xfId="0" applyBorder="1"/>
  </cellXfs>
  <cellStyles count="51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  <cellStyle name="Normal 2 2" xfId="50"/>
  </cellStyles>
  <dxfs count="2">
    <dxf>
      <fill>
        <patternFill patternType="solid">
          <bgColor theme="5"/>
        </patternFill>
      </fill>
    </dxf>
    <dxf>
      <font>
        <color auto="1"/>
      </font>
      <fill>
        <patternFill patternType="solid">
          <bgColor theme="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O54"/>
  <sheetViews>
    <sheetView tabSelected="1" zoomScale="115" zoomScaleNormal="115" workbookViewId="0">
      <pane xSplit="7" ySplit="8" topLeftCell="AU17" activePane="bottomRight" state="frozen"/>
      <selection/>
      <selection pane="topRight"/>
      <selection pane="bottomLeft"/>
      <selection pane="bottomRight" activeCell="AZ7" sqref="AZ7"/>
    </sheetView>
  </sheetViews>
  <sheetFormatPr defaultColWidth="9" defaultRowHeight="14.4"/>
  <cols>
    <col min="1" max="1" width="27.4259259259259" customWidth="1"/>
    <col min="2" max="2" width="7.28703703703704" customWidth="1"/>
    <col min="3" max="3" width="6.57407407407407" customWidth="1"/>
    <col min="4" max="4" width="6.42592592592593" customWidth="1"/>
    <col min="5" max="5" width="5.85185185185185" customWidth="1"/>
    <col min="6" max="6" width="7.42592592592593" customWidth="1"/>
    <col min="7" max="7" width="6.42592592592593" customWidth="1"/>
    <col min="8" max="16" width="5.57407407407407" customWidth="1"/>
    <col min="17" max="17" width="5.57407407407407" customWidth="1"/>
    <col min="18" max="19" width="5.57407407407407" customWidth="1"/>
    <col min="20" max="31" width="5.57407407407407" customWidth="1"/>
    <col min="32" max="32" width="5.57407407407407" customWidth="1"/>
    <col min="33" max="33" width="6.42592592592593" customWidth="1"/>
    <col min="34" max="45" width="5.57407407407407" customWidth="1"/>
    <col min="46" max="47" width="5.57407407407407" customWidth="1"/>
    <col min="48" max="53" width="5.57407407407407" customWidth="1"/>
    <col min="54" max="54" width="5.57407407407407" customWidth="1"/>
    <col min="55" max="56" width="5.57407407407407" customWidth="1"/>
    <col min="57" max="58" width="5.57407407407407" customWidth="1"/>
    <col min="59" max="62" width="5.57407407407407" customWidth="1"/>
    <col min="63" max="63" width="5.85185185185185" customWidth="1"/>
    <col min="64" max="67" width="5.57407407407407" customWidth="1"/>
    <col min="68" max="68" width="5.57407407407407" customWidth="1"/>
    <col min="69" max="73" width="5.57407407407407" customWidth="1"/>
    <col min="74" max="74" width="5.57407407407407" customWidth="1"/>
    <col min="75" max="77" width="5.57407407407407" customWidth="1"/>
    <col min="78" max="78" width="5.57407407407407" customWidth="1"/>
    <col min="79" max="83" width="5.57407407407407" customWidth="1"/>
    <col min="84" max="84" width="5.57407407407407" customWidth="1"/>
    <col min="91" max="91" width="5.57407407407407" customWidth="1"/>
    <col min="92" max="92" width="5.57407407407407" customWidth="1"/>
    <col min="93" max="93" width="5.57407407407407" customWidth="1"/>
  </cols>
  <sheetData>
    <row r="1" ht="38" customHeight="1" spans="7:93">
      <c r="G1" s="1" t="s">
        <v>0</v>
      </c>
      <c r="H1" s="2" t="s">
        <v>1</v>
      </c>
      <c r="I1" s="2" t="s">
        <v>1</v>
      </c>
      <c r="J1" s="2" t="s">
        <v>2</v>
      </c>
      <c r="K1" s="2" t="s">
        <v>2</v>
      </c>
      <c r="L1" s="22" t="s">
        <v>3</v>
      </c>
      <c r="M1" s="22" t="s">
        <v>4</v>
      </c>
      <c r="N1" s="22" t="s">
        <v>5</v>
      </c>
      <c r="O1" s="2" t="s">
        <v>6</v>
      </c>
      <c r="P1" s="22" t="s">
        <v>7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  <c r="AF1" s="2" t="s">
        <v>23</v>
      </c>
      <c r="AG1" s="2" t="s">
        <v>24</v>
      </c>
      <c r="AH1" s="2" t="s">
        <v>25</v>
      </c>
      <c r="AI1" s="2" t="s">
        <v>25</v>
      </c>
      <c r="AJ1" s="2" t="s">
        <v>26</v>
      </c>
      <c r="AK1" s="2" t="s">
        <v>26</v>
      </c>
      <c r="AL1" s="2" t="s">
        <v>27</v>
      </c>
      <c r="AM1" s="2" t="s">
        <v>27</v>
      </c>
      <c r="AN1" s="2" t="s">
        <v>28</v>
      </c>
      <c r="AO1" s="2" t="s">
        <v>29</v>
      </c>
      <c r="AP1" s="2" t="s">
        <v>30</v>
      </c>
      <c r="AQ1" s="2" t="s">
        <v>31</v>
      </c>
      <c r="AR1" s="2" t="s">
        <v>32</v>
      </c>
      <c r="AS1" s="2" t="s">
        <v>33</v>
      </c>
      <c r="AT1" s="26" t="s">
        <v>34</v>
      </c>
      <c r="AU1" s="26" t="s">
        <v>34</v>
      </c>
      <c r="AV1" s="26" t="s">
        <v>35</v>
      </c>
      <c r="AW1" s="26" t="s">
        <v>35</v>
      </c>
      <c r="AX1" s="2" t="s">
        <v>36</v>
      </c>
      <c r="AY1" s="2" t="s">
        <v>36</v>
      </c>
      <c r="AZ1" s="2" t="s">
        <v>37</v>
      </c>
      <c r="BA1" s="2" t="s">
        <v>37</v>
      </c>
      <c r="BB1" s="2" t="s">
        <v>38</v>
      </c>
      <c r="BC1" s="2" t="s">
        <v>39</v>
      </c>
      <c r="BD1" s="2" t="s">
        <v>40</v>
      </c>
      <c r="BE1" s="2" t="s">
        <v>41</v>
      </c>
      <c r="BF1" s="2" t="s">
        <v>42</v>
      </c>
      <c r="BG1" s="2" t="s">
        <v>43</v>
      </c>
      <c r="BH1" s="2" t="s">
        <v>44</v>
      </c>
      <c r="BI1" s="2" t="s">
        <v>45</v>
      </c>
      <c r="BJ1" s="2" t="s">
        <v>46</v>
      </c>
      <c r="BK1" s="2" t="s">
        <v>47</v>
      </c>
      <c r="BL1" s="2" t="s">
        <v>48</v>
      </c>
      <c r="BM1" s="2" t="s">
        <v>49</v>
      </c>
      <c r="BN1" s="2" t="s">
        <v>50</v>
      </c>
      <c r="BO1" s="2" t="s">
        <v>51</v>
      </c>
      <c r="BP1" s="2" t="s">
        <v>52</v>
      </c>
      <c r="BQ1" s="2" t="s">
        <v>53</v>
      </c>
      <c r="BR1" s="2" t="s">
        <v>54</v>
      </c>
      <c r="BS1" s="2" t="s">
        <v>55</v>
      </c>
      <c r="BT1" s="2" t="s">
        <v>56</v>
      </c>
      <c r="BU1" s="2" t="s">
        <v>57</v>
      </c>
      <c r="BV1" s="2" t="s">
        <v>58</v>
      </c>
      <c r="BW1" s="2" t="s">
        <v>59</v>
      </c>
      <c r="BX1" s="2" t="s">
        <v>60</v>
      </c>
      <c r="BY1" s="2" t="s">
        <v>61</v>
      </c>
      <c r="BZ1" s="2" t="s">
        <v>62</v>
      </c>
      <c r="CA1" s="2" t="s">
        <v>63</v>
      </c>
      <c r="CB1" s="2" t="s">
        <v>64</v>
      </c>
      <c r="CC1" s="2" t="s">
        <v>65</v>
      </c>
      <c r="CD1" s="2" t="s">
        <v>66</v>
      </c>
      <c r="CE1" s="2" t="s">
        <v>67</v>
      </c>
      <c r="CF1" s="32" t="s">
        <v>68</v>
      </c>
      <c r="CM1" s="2" t="s">
        <v>69</v>
      </c>
      <c r="CN1" s="2" t="s">
        <v>70</v>
      </c>
      <c r="CO1" s="2" t="s">
        <v>71</v>
      </c>
    </row>
    <row r="2" ht="40" customHeight="1" spans="1:93">
      <c r="A2" s="3" t="s">
        <v>72</v>
      </c>
      <c r="B2" s="3"/>
      <c r="C2">
        <f>CH6/D50</f>
        <v>2.53763831600385</v>
      </c>
      <c r="G2" s="1" t="s">
        <v>73</v>
      </c>
      <c r="H2" s="4" t="s">
        <v>74</v>
      </c>
      <c r="I2" s="4" t="s">
        <v>74</v>
      </c>
      <c r="J2" s="4" t="s">
        <v>75</v>
      </c>
      <c r="K2" s="4" t="s">
        <v>75</v>
      </c>
      <c r="L2" s="4" t="s">
        <v>76</v>
      </c>
      <c r="M2" s="4" t="s">
        <v>77</v>
      </c>
      <c r="N2" s="4" t="s">
        <v>78</v>
      </c>
      <c r="O2" s="4" t="s">
        <v>79</v>
      </c>
      <c r="P2" s="4" t="s">
        <v>80</v>
      </c>
      <c r="Q2" s="4" t="s">
        <v>81</v>
      </c>
      <c r="R2" s="4" t="s">
        <v>82</v>
      </c>
      <c r="S2" s="4" t="s">
        <v>83</v>
      </c>
      <c r="T2" s="4" t="s">
        <v>84</v>
      </c>
      <c r="U2" s="4" t="s">
        <v>85</v>
      </c>
      <c r="V2" s="4" t="s">
        <v>86</v>
      </c>
      <c r="W2" s="4" t="s">
        <v>87</v>
      </c>
      <c r="X2" s="4" t="s">
        <v>88</v>
      </c>
      <c r="Y2" s="4" t="s">
        <v>89</v>
      </c>
      <c r="Z2" s="4" t="s">
        <v>90</v>
      </c>
      <c r="AA2" s="4" t="s">
        <v>91</v>
      </c>
      <c r="AB2" s="4" t="s">
        <v>92</v>
      </c>
      <c r="AC2" s="4" t="s">
        <v>93</v>
      </c>
      <c r="AD2" s="4" t="s">
        <v>94</v>
      </c>
      <c r="AE2" s="4" t="s">
        <v>95</v>
      </c>
      <c r="AF2" s="4" t="s">
        <v>96</v>
      </c>
      <c r="AG2" s="4" t="s">
        <v>97</v>
      </c>
      <c r="AH2" s="4" t="s">
        <v>98</v>
      </c>
      <c r="AI2" s="4" t="s">
        <v>98</v>
      </c>
      <c r="AJ2" s="4" t="s">
        <v>99</v>
      </c>
      <c r="AK2" s="4" t="s">
        <v>99</v>
      </c>
      <c r="AL2" s="4" t="s">
        <v>100</v>
      </c>
      <c r="AM2" s="4" t="s">
        <v>100</v>
      </c>
      <c r="AN2" s="4" t="s">
        <v>101</v>
      </c>
      <c r="AO2" s="4" t="s">
        <v>101</v>
      </c>
      <c r="AP2" s="4" t="s">
        <v>102</v>
      </c>
      <c r="AQ2" s="4" t="s">
        <v>102</v>
      </c>
      <c r="AR2" s="4" t="s">
        <v>103</v>
      </c>
      <c r="AS2" s="4" t="s">
        <v>103</v>
      </c>
      <c r="AT2" s="4" t="s">
        <v>104</v>
      </c>
      <c r="AU2" s="4" t="s">
        <v>104</v>
      </c>
      <c r="AV2" s="4" t="s">
        <v>105</v>
      </c>
      <c r="AW2" s="4" t="s">
        <v>105</v>
      </c>
      <c r="AX2" s="4" t="s">
        <v>106</v>
      </c>
      <c r="AY2" s="4" t="s">
        <v>106</v>
      </c>
      <c r="AZ2" s="4" t="s">
        <v>107</v>
      </c>
      <c r="BA2" s="4" t="s">
        <v>107</v>
      </c>
      <c r="BB2" s="4" t="s">
        <v>108</v>
      </c>
      <c r="BC2" s="4" t="s">
        <v>108</v>
      </c>
      <c r="BD2" s="4" t="s">
        <v>109</v>
      </c>
      <c r="BE2" s="4" t="s">
        <v>109</v>
      </c>
      <c r="BF2" s="4" t="s">
        <v>110</v>
      </c>
      <c r="BG2" s="4" t="s">
        <v>110</v>
      </c>
      <c r="BH2" s="4" t="s">
        <v>111</v>
      </c>
      <c r="BI2" s="4" t="s">
        <v>112</v>
      </c>
      <c r="BJ2" s="4" t="s">
        <v>113</v>
      </c>
      <c r="BK2" s="4" t="s">
        <v>114</v>
      </c>
      <c r="BL2" s="4" t="s">
        <v>115</v>
      </c>
      <c r="BM2" s="4" t="s">
        <v>116</v>
      </c>
      <c r="BN2" s="4" t="s">
        <v>117</v>
      </c>
      <c r="BO2" s="4" t="s">
        <v>118</v>
      </c>
      <c r="BP2" s="4" t="s">
        <v>119</v>
      </c>
      <c r="BQ2" s="4" t="s">
        <v>120</v>
      </c>
      <c r="BR2" s="4" t="s">
        <v>120</v>
      </c>
      <c r="BS2" s="4" t="s">
        <v>121</v>
      </c>
      <c r="BT2" s="4" t="s">
        <v>122</v>
      </c>
      <c r="BU2" s="4" t="s">
        <v>123</v>
      </c>
      <c r="BV2" s="4" t="s">
        <v>124</v>
      </c>
      <c r="BW2" s="4" t="s">
        <v>125</v>
      </c>
      <c r="BX2" s="4" t="s">
        <v>126</v>
      </c>
      <c r="BY2" s="4" t="s">
        <v>127</v>
      </c>
      <c r="BZ2" s="4" t="s">
        <v>128</v>
      </c>
      <c r="CA2" s="4" t="s">
        <v>129</v>
      </c>
      <c r="CB2" s="4" t="s">
        <v>130</v>
      </c>
      <c r="CC2" s="4" t="s">
        <v>131</v>
      </c>
      <c r="CD2" s="4" t="s">
        <v>132</v>
      </c>
      <c r="CE2" s="4" t="s">
        <v>133</v>
      </c>
      <c r="CF2" s="33" t="s">
        <v>134</v>
      </c>
      <c r="CM2" s="4" t="s">
        <v>135</v>
      </c>
      <c r="CN2" s="4" t="s">
        <v>136</v>
      </c>
      <c r="CO2" s="4" t="s">
        <v>137</v>
      </c>
    </row>
    <row r="3" ht="20.1" customHeight="1" spans="1:93">
      <c r="A3" s="5"/>
      <c r="B3" s="5"/>
      <c r="G3" s="1" t="s">
        <v>138</v>
      </c>
      <c r="H3" s="6">
        <v>1</v>
      </c>
      <c r="I3" s="6">
        <v>2</v>
      </c>
      <c r="J3" s="6">
        <v>1</v>
      </c>
      <c r="K3" s="6">
        <v>2</v>
      </c>
      <c r="L3" s="6">
        <v>1</v>
      </c>
      <c r="M3" s="6">
        <v>2</v>
      </c>
      <c r="N3" s="6">
        <v>2</v>
      </c>
      <c r="O3" s="6">
        <v>1</v>
      </c>
      <c r="P3" s="6">
        <v>2</v>
      </c>
      <c r="Q3" s="6">
        <v>1</v>
      </c>
      <c r="R3" s="6">
        <v>1</v>
      </c>
      <c r="S3" s="6">
        <v>2</v>
      </c>
      <c r="T3" s="6">
        <v>1</v>
      </c>
      <c r="U3" s="6">
        <v>2</v>
      </c>
      <c r="V3" s="6">
        <v>2</v>
      </c>
      <c r="W3" s="6">
        <v>2</v>
      </c>
      <c r="X3" s="6">
        <v>1</v>
      </c>
      <c r="Y3" s="6">
        <v>2</v>
      </c>
      <c r="Z3" s="6">
        <v>1</v>
      </c>
      <c r="AA3" s="6">
        <v>1</v>
      </c>
      <c r="AB3" s="6">
        <v>2</v>
      </c>
      <c r="AC3" s="6">
        <v>1</v>
      </c>
      <c r="AD3" s="6">
        <v>2</v>
      </c>
      <c r="AE3" s="6">
        <v>1</v>
      </c>
      <c r="AF3" s="6">
        <v>2</v>
      </c>
      <c r="AG3" s="6">
        <v>2</v>
      </c>
      <c r="AH3" s="6">
        <v>1</v>
      </c>
      <c r="AI3" s="6">
        <v>2</v>
      </c>
      <c r="AJ3" s="6">
        <v>1</v>
      </c>
      <c r="AK3" s="6">
        <v>2</v>
      </c>
      <c r="AL3" s="6">
        <v>1</v>
      </c>
      <c r="AM3" s="6">
        <v>2</v>
      </c>
      <c r="AN3" s="6">
        <v>1</v>
      </c>
      <c r="AO3" s="6">
        <v>2</v>
      </c>
      <c r="AP3" s="6">
        <v>1</v>
      </c>
      <c r="AQ3" s="6">
        <v>2</v>
      </c>
      <c r="AR3" s="6">
        <v>1</v>
      </c>
      <c r="AS3" s="6">
        <v>2</v>
      </c>
      <c r="AT3" s="6">
        <v>1</v>
      </c>
      <c r="AU3" s="6">
        <v>2</v>
      </c>
      <c r="AV3" s="6">
        <v>1</v>
      </c>
      <c r="AW3" s="6">
        <v>2</v>
      </c>
      <c r="AX3" s="6">
        <v>1</v>
      </c>
      <c r="AY3" s="6">
        <v>2</v>
      </c>
      <c r="AZ3" s="6">
        <v>1</v>
      </c>
      <c r="BA3" s="6">
        <v>2</v>
      </c>
      <c r="BB3" s="6">
        <v>1</v>
      </c>
      <c r="BC3" s="6">
        <v>2</v>
      </c>
      <c r="BD3" s="6">
        <v>1</v>
      </c>
      <c r="BE3" s="6">
        <v>2</v>
      </c>
      <c r="BF3" s="6">
        <v>1</v>
      </c>
      <c r="BG3" s="6">
        <v>2</v>
      </c>
      <c r="BH3" s="6">
        <v>1</v>
      </c>
      <c r="BI3" s="6">
        <v>1</v>
      </c>
      <c r="BJ3" s="6">
        <v>2</v>
      </c>
      <c r="BK3" s="6">
        <v>1</v>
      </c>
      <c r="BL3" s="6">
        <v>1</v>
      </c>
      <c r="BM3" s="6">
        <v>2</v>
      </c>
      <c r="BN3" s="6">
        <v>1</v>
      </c>
      <c r="BO3" s="6">
        <v>2</v>
      </c>
      <c r="BP3" s="6">
        <v>2</v>
      </c>
      <c r="BQ3" s="6" t="s">
        <v>139</v>
      </c>
      <c r="BR3" s="6" t="s">
        <v>139</v>
      </c>
      <c r="BS3" s="6">
        <v>2</v>
      </c>
      <c r="BT3" s="6">
        <v>1</v>
      </c>
      <c r="BU3" s="6">
        <v>1</v>
      </c>
      <c r="BV3" s="6">
        <v>1</v>
      </c>
      <c r="BW3" s="6">
        <v>2</v>
      </c>
      <c r="BX3" s="6">
        <v>2</v>
      </c>
      <c r="BY3" s="6">
        <v>2</v>
      </c>
      <c r="BZ3" s="6">
        <v>1</v>
      </c>
      <c r="CA3" s="6">
        <v>2</v>
      </c>
      <c r="CB3" s="6">
        <v>1</v>
      </c>
      <c r="CC3" s="6">
        <v>2</v>
      </c>
      <c r="CD3" s="6">
        <v>2</v>
      </c>
      <c r="CE3" s="6">
        <v>1</v>
      </c>
      <c r="CF3" s="34">
        <v>2</v>
      </c>
      <c r="CM3" s="6">
        <v>1</v>
      </c>
      <c r="CN3" s="6">
        <v>1</v>
      </c>
      <c r="CO3" s="6">
        <v>1</v>
      </c>
    </row>
    <row r="4" ht="17.45" customHeight="1" spans="7:93">
      <c r="G4" s="3" t="s">
        <v>140</v>
      </c>
      <c r="H4" s="7">
        <v>490</v>
      </c>
      <c r="I4" s="7">
        <v>610</v>
      </c>
      <c r="J4" s="7">
        <v>610</v>
      </c>
      <c r="K4" s="7">
        <v>670</v>
      </c>
      <c r="L4" s="7">
        <v>680</v>
      </c>
      <c r="M4" s="7">
        <v>180</v>
      </c>
      <c r="N4" s="7">
        <v>50</v>
      </c>
      <c r="O4" s="7">
        <v>400</v>
      </c>
      <c r="P4" s="7">
        <v>550</v>
      </c>
      <c r="Q4" s="7">
        <v>500</v>
      </c>
      <c r="R4" s="7">
        <v>600</v>
      </c>
      <c r="S4" s="7">
        <v>630</v>
      </c>
      <c r="T4" s="7">
        <v>40</v>
      </c>
      <c r="U4" s="7">
        <v>60</v>
      </c>
      <c r="V4" s="7">
        <v>140</v>
      </c>
      <c r="W4" s="7">
        <v>150</v>
      </c>
      <c r="X4" s="7">
        <v>140</v>
      </c>
      <c r="Y4" s="7">
        <v>350</v>
      </c>
      <c r="Z4" s="7">
        <v>40</v>
      </c>
      <c r="AA4" s="7">
        <v>35</v>
      </c>
      <c r="AB4" s="7">
        <v>180</v>
      </c>
      <c r="AC4" s="7">
        <v>130</v>
      </c>
      <c r="AD4" s="7">
        <v>85</v>
      </c>
      <c r="AE4" s="7">
        <v>100</v>
      </c>
      <c r="AF4" s="7">
        <v>80</v>
      </c>
      <c r="AG4" s="7">
        <v>120</v>
      </c>
      <c r="AH4" s="7">
        <v>800</v>
      </c>
      <c r="AI4" s="7">
        <v>275</v>
      </c>
      <c r="AJ4" s="7">
        <v>720</v>
      </c>
      <c r="AK4" s="7">
        <v>710</v>
      </c>
      <c r="AL4" s="7">
        <v>450</v>
      </c>
      <c r="AM4" s="7">
        <v>170</v>
      </c>
      <c r="AN4" s="7">
        <v>81</v>
      </c>
      <c r="AO4" s="7">
        <v>81</v>
      </c>
      <c r="AP4" s="7">
        <v>80</v>
      </c>
      <c r="AQ4" s="7">
        <v>80</v>
      </c>
      <c r="AR4" s="7">
        <v>53</v>
      </c>
      <c r="AS4" s="7">
        <v>53</v>
      </c>
      <c r="AT4" s="7">
        <v>108</v>
      </c>
      <c r="AU4" s="7">
        <v>108</v>
      </c>
      <c r="AV4" s="7">
        <v>108</v>
      </c>
      <c r="AW4" s="7">
        <v>108</v>
      </c>
      <c r="AX4" s="7">
        <v>108</v>
      </c>
      <c r="AY4" s="7">
        <v>54</v>
      </c>
      <c r="AZ4" s="7">
        <v>108</v>
      </c>
      <c r="BA4" s="7">
        <v>54</v>
      </c>
      <c r="BB4" s="7">
        <v>70</v>
      </c>
      <c r="BC4" s="7">
        <v>70</v>
      </c>
      <c r="BD4" s="7">
        <v>70</v>
      </c>
      <c r="BE4" s="7">
        <v>70</v>
      </c>
      <c r="BF4" s="7">
        <v>70</v>
      </c>
      <c r="BG4" s="7">
        <v>70</v>
      </c>
      <c r="BH4" s="7">
        <v>88</v>
      </c>
      <c r="BI4" s="7">
        <v>135</v>
      </c>
      <c r="BJ4" s="7">
        <v>70</v>
      </c>
      <c r="BK4" s="7">
        <v>140</v>
      </c>
      <c r="BL4" s="7">
        <v>74</v>
      </c>
      <c r="BM4" s="7">
        <v>136</v>
      </c>
      <c r="BN4" s="7">
        <v>70</v>
      </c>
      <c r="BO4" s="7">
        <v>139</v>
      </c>
      <c r="BP4" s="7">
        <v>70</v>
      </c>
      <c r="BQ4" s="7">
        <v>40</v>
      </c>
      <c r="BR4" s="7">
        <v>40</v>
      </c>
      <c r="BS4" s="7">
        <v>200</v>
      </c>
      <c r="BT4" s="7">
        <v>100</v>
      </c>
      <c r="BU4" s="7">
        <v>280</v>
      </c>
      <c r="BV4" s="7">
        <v>158</v>
      </c>
      <c r="BW4" s="7">
        <v>69</v>
      </c>
      <c r="BX4" s="7">
        <v>121</v>
      </c>
      <c r="BY4" s="7">
        <v>70</v>
      </c>
      <c r="BZ4" s="7">
        <v>74</v>
      </c>
      <c r="CA4" s="7">
        <v>74</v>
      </c>
      <c r="CB4" s="7">
        <v>50</v>
      </c>
      <c r="CC4" s="7">
        <v>59</v>
      </c>
      <c r="CD4" s="7">
        <v>36</v>
      </c>
      <c r="CE4" s="7">
        <v>36</v>
      </c>
      <c r="CF4" s="35">
        <v>77</v>
      </c>
      <c r="CM4" s="7">
        <v>70</v>
      </c>
      <c r="CN4" s="7">
        <v>123</v>
      </c>
      <c r="CO4" s="7">
        <v>178</v>
      </c>
    </row>
    <row r="5" customFormat="1" ht="18" customHeight="1" spans="7:93">
      <c r="G5" s="1" t="s">
        <v>141</v>
      </c>
      <c r="H5" s="8">
        <v>1</v>
      </c>
      <c r="I5" s="8">
        <v>1</v>
      </c>
      <c r="J5" s="8">
        <v>0.6</v>
      </c>
      <c r="K5" s="23">
        <v>0</v>
      </c>
      <c r="L5" s="8">
        <v>1</v>
      </c>
      <c r="M5" s="8">
        <v>1</v>
      </c>
      <c r="N5" s="8">
        <v>0.5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>
        <v>1</v>
      </c>
      <c r="AF5" s="8">
        <v>1</v>
      </c>
      <c r="AG5" s="23">
        <v>0</v>
      </c>
      <c r="AH5" s="8">
        <v>1</v>
      </c>
      <c r="AI5" s="8">
        <v>1</v>
      </c>
      <c r="AJ5" s="8">
        <v>1</v>
      </c>
      <c r="AK5" s="8">
        <v>1</v>
      </c>
      <c r="AL5" s="8">
        <v>1</v>
      </c>
      <c r="AM5" s="8">
        <v>1</v>
      </c>
      <c r="AN5" s="8">
        <v>1</v>
      </c>
      <c r="AO5" s="8">
        <v>1.2</v>
      </c>
      <c r="AP5" s="8">
        <v>1</v>
      </c>
      <c r="AQ5" s="8">
        <v>1</v>
      </c>
      <c r="AR5" s="8">
        <v>1</v>
      </c>
      <c r="AS5" s="8">
        <v>1.2</v>
      </c>
      <c r="AT5" s="8">
        <v>0.7</v>
      </c>
      <c r="AU5" s="8">
        <v>0.5</v>
      </c>
      <c r="AV5" s="8">
        <v>0.7</v>
      </c>
      <c r="AW5" s="8">
        <v>0.5</v>
      </c>
      <c r="AX5" s="8">
        <v>0.7</v>
      </c>
      <c r="AY5" s="8">
        <v>0.5</v>
      </c>
      <c r="AZ5" s="8">
        <v>0.7</v>
      </c>
      <c r="BA5" s="8">
        <v>0.5</v>
      </c>
      <c r="BB5" s="8">
        <v>0.5</v>
      </c>
      <c r="BC5" s="8">
        <v>0.5</v>
      </c>
      <c r="BD5" s="8">
        <v>0.5</v>
      </c>
      <c r="BE5" s="8">
        <v>0.5</v>
      </c>
      <c r="BF5" s="8">
        <v>1</v>
      </c>
      <c r="BG5" s="8">
        <v>1</v>
      </c>
      <c r="BH5" s="8">
        <v>1</v>
      </c>
      <c r="BI5" s="8">
        <v>1</v>
      </c>
      <c r="BJ5" s="8">
        <v>1</v>
      </c>
      <c r="BK5" s="8">
        <v>1</v>
      </c>
      <c r="BL5" s="8">
        <v>1</v>
      </c>
      <c r="BM5" s="8">
        <v>1</v>
      </c>
      <c r="BN5" s="8">
        <v>1</v>
      </c>
      <c r="BO5" s="8">
        <v>0.5</v>
      </c>
      <c r="BP5" s="8">
        <v>1</v>
      </c>
      <c r="BQ5" s="8">
        <v>1</v>
      </c>
      <c r="BR5" s="8">
        <v>1</v>
      </c>
      <c r="BS5" s="8">
        <v>1</v>
      </c>
      <c r="BT5" s="8">
        <v>1</v>
      </c>
      <c r="BU5" s="8">
        <v>1</v>
      </c>
      <c r="BV5" s="8">
        <v>1</v>
      </c>
      <c r="BW5" s="8">
        <v>1</v>
      </c>
      <c r="BX5" s="8">
        <v>1</v>
      </c>
      <c r="BY5" s="8">
        <v>1</v>
      </c>
      <c r="BZ5" s="8">
        <v>1</v>
      </c>
      <c r="CA5" s="8">
        <v>1</v>
      </c>
      <c r="CB5" s="8">
        <v>1</v>
      </c>
      <c r="CC5" s="8">
        <v>1</v>
      </c>
      <c r="CD5" s="8">
        <v>1</v>
      </c>
      <c r="CE5" s="8">
        <v>1</v>
      </c>
      <c r="CF5" s="36">
        <v>1</v>
      </c>
      <c r="CM5" s="8">
        <v>1</v>
      </c>
      <c r="CN5" s="8">
        <v>1</v>
      </c>
      <c r="CO5" s="8">
        <v>1</v>
      </c>
    </row>
    <row r="6" ht="20.1" customHeight="1" spans="1:93">
      <c r="A6" s="3" t="s">
        <v>142</v>
      </c>
      <c r="B6" s="3"/>
      <c r="C6">
        <v>0.8</v>
      </c>
      <c r="G6" s="3" t="s">
        <v>143</v>
      </c>
      <c r="H6" s="9">
        <f>MAX(LOG10(H4/7),$C$6)*H5</f>
        <v>1.84509804001426</v>
      </c>
      <c r="I6" s="9">
        <f t="shared" ref="I6:AO6" si="0">MAX(LOG10(I4/7),$C$6)*I5</f>
        <v>1.94023179499651</v>
      </c>
      <c r="J6" s="9">
        <f t="shared" si="0"/>
        <v>1.16413907699791</v>
      </c>
      <c r="K6" s="9">
        <f t="shared" si="0"/>
        <v>0</v>
      </c>
      <c r="L6" s="9">
        <f t="shared" si="0"/>
        <v>1.98741087269198</v>
      </c>
      <c r="M6" s="9">
        <f t="shared" si="0"/>
        <v>1.41017446508905</v>
      </c>
      <c r="N6" s="9">
        <f t="shared" si="0"/>
        <v>0.426935982160881</v>
      </c>
      <c r="O6" s="9">
        <f t="shared" si="0"/>
        <v>1.75696195131371</v>
      </c>
      <c r="P6" s="9">
        <f t="shared" si="0"/>
        <v>1.89526464947999</v>
      </c>
      <c r="Q6" s="9">
        <f t="shared" si="0"/>
        <v>1.85387196432176</v>
      </c>
      <c r="R6" s="9">
        <f t="shared" si="0"/>
        <v>1.93305321036939</v>
      </c>
      <c r="S6" s="9">
        <f t="shared" si="0"/>
        <v>1.95424250943932</v>
      </c>
      <c r="T6" s="9">
        <f t="shared" si="0"/>
        <v>0.8</v>
      </c>
      <c r="U6" s="9">
        <f t="shared" si="0"/>
        <v>0.933053210369387</v>
      </c>
      <c r="V6" s="9">
        <f t="shared" si="0"/>
        <v>1.30102999566398</v>
      </c>
      <c r="W6" s="9">
        <f t="shared" si="0"/>
        <v>1.33099321904142</v>
      </c>
      <c r="X6" s="9">
        <f t="shared" si="0"/>
        <v>1.30102999566398</v>
      </c>
      <c r="Y6" s="9">
        <f t="shared" si="0"/>
        <v>1.69897000433602</v>
      </c>
      <c r="Z6" s="9">
        <f t="shared" si="0"/>
        <v>0.8</v>
      </c>
      <c r="AA6" s="9">
        <f t="shared" si="0"/>
        <v>0.8</v>
      </c>
      <c r="AB6" s="9">
        <f t="shared" si="0"/>
        <v>1.41017446508905</v>
      </c>
      <c r="AC6" s="9">
        <f t="shared" si="0"/>
        <v>1.26884531229258</v>
      </c>
      <c r="AD6" s="9">
        <f t="shared" si="0"/>
        <v>1.08432088570004</v>
      </c>
      <c r="AE6" s="9">
        <f t="shared" si="0"/>
        <v>1.15490195998574</v>
      </c>
      <c r="AF6" s="9">
        <f t="shared" si="0"/>
        <v>1.05799194697769</v>
      </c>
      <c r="AG6" s="9">
        <f t="shared" si="0"/>
        <v>0</v>
      </c>
      <c r="AH6" s="9">
        <f t="shared" si="0"/>
        <v>2.05799194697769</v>
      </c>
      <c r="AI6" s="9">
        <f t="shared" si="0"/>
        <v>1.59423465381601</v>
      </c>
      <c r="AJ6" s="9">
        <f t="shared" si="0"/>
        <v>2.01223445641701</v>
      </c>
      <c r="AK6" s="9">
        <f t="shared" si="0"/>
        <v>2.00616030870482</v>
      </c>
      <c r="AL6" s="9">
        <f t="shared" si="0"/>
        <v>1.80811447376109</v>
      </c>
      <c r="AM6" s="9">
        <f t="shared" si="0"/>
        <v>1.38535088136402</v>
      </c>
      <c r="AN6" s="9">
        <f t="shared" si="0"/>
        <v>1.06338697886439</v>
      </c>
      <c r="AO6" s="9">
        <f t="shared" si="0"/>
        <v>1.27606437463727</v>
      </c>
      <c r="AP6" s="9">
        <f t="shared" ref="AP6:BU6" si="1">MAX(LOG10(AP4/7),$C$6)*AP5</f>
        <v>1.05799194697769</v>
      </c>
      <c r="AQ6" s="9">
        <f t="shared" si="1"/>
        <v>1.05799194697769</v>
      </c>
      <c r="AR6" s="9">
        <f t="shared" si="1"/>
        <v>0.879177829586532</v>
      </c>
      <c r="AS6" s="9">
        <f t="shared" si="1"/>
        <v>1.05501339550384</v>
      </c>
      <c r="AT6" s="9">
        <f t="shared" si="1"/>
        <v>0.831828000830885</v>
      </c>
      <c r="AU6" s="9">
        <f t="shared" si="1"/>
        <v>0.594162857736346</v>
      </c>
      <c r="AV6" s="9">
        <f t="shared" si="1"/>
        <v>0.831828000830885</v>
      </c>
      <c r="AW6" s="9">
        <f t="shared" si="1"/>
        <v>0.594162857736346</v>
      </c>
      <c r="AX6" s="9">
        <f t="shared" si="1"/>
        <v>0.831828000830885</v>
      </c>
      <c r="AY6" s="9">
        <f t="shared" si="1"/>
        <v>0.443647859904356</v>
      </c>
      <c r="AZ6" s="9">
        <f t="shared" si="1"/>
        <v>0.831828000830885</v>
      </c>
      <c r="BA6" s="9">
        <f t="shared" si="1"/>
        <v>0.443647859904356</v>
      </c>
      <c r="BB6" s="9">
        <f t="shared" si="1"/>
        <v>0.5</v>
      </c>
      <c r="BC6" s="9">
        <f t="shared" si="1"/>
        <v>0.5</v>
      </c>
      <c r="BD6" s="9">
        <f t="shared" si="1"/>
        <v>0.5</v>
      </c>
      <c r="BE6" s="9">
        <f t="shared" si="1"/>
        <v>0.5</v>
      </c>
      <c r="BF6" s="9">
        <f t="shared" si="1"/>
        <v>1</v>
      </c>
      <c r="BG6" s="9">
        <f t="shared" si="1"/>
        <v>1</v>
      </c>
      <c r="BH6" s="9">
        <f t="shared" si="1"/>
        <v>1.09938463213591</v>
      </c>
      <c r="BI6" s="9">
        <f t="shared" si="1"/>
        <v>1.28523572848075</v>
      </c>
      <c r="BJ6" s="9">
        <f t="shared" si="1"/>
        <v>1</v>
      </c>
      <c r="BK6" s="9">
        <f t="shared" si="1"/>
        <v>1.30102999566398</v>
      </c>
      <c r="BL6" s="9">
        <f t="shared" si="1"/>
        <v>1.02413367971672</v>
      </c>
      <c r="BM6" s="9">
        <f t="shared" si="1"/>
        <v>1.28844086835596</v>
      </c>
      <c r="BN6" s="9">
        <f t="shared" si="1"/>
        <v>1</v>
      </c>
      <c r="BO6" s="9">
        <f t="shared" si="1"/>
        <v>0.648958380119919</v>
      </c>
      <c r="BP6" s="9">
        <f t="shared" si="1"/>
        <v>1</v>
      </c>
      <c r="BQ6" s="9">
        <f t="shared" si="1"/>
        <v>0.8</v>
      </c>
      <c r="BR6" s="9">
        <f t="shared" si="1"/>
        <v>0.8</v>
      </c>
      <c r="BS6" s="9">
        <f t="shared" si="1"/>
        <v>1.45593195564972</v>
      </c>
      <c r="BT6" s="9">
        <f t="shared" si="1"/>
        <v>1.15490195998574</v>
      </c>
      <c r="BU6" s="9">
        <f t="shared" si="1"/>
        <v>1.60205999132796</v>
      </c>
      <c r="BV6" s="9">
        <f t="shared" ref="BV6:CF6" si="2">MAX(LOG10(BV4/7),$C$6)*BV5</f>
        <v>1.35355904694017</v>
      </c>
      <c r="BW6" s="9">
        <f t="shared" si="2"/>
        <v>0.993751050722999</v>
      </c>
      <c r="BX6" s="9">
        <f t="shared" si="2"/>
        <v>1.23768733030219</v>
      </c>
      <c r="BY6" s="9">
        <f t="shared" si="2"/>
        <v>1</v>
      </c>
      <c r="BZ6" s="9">
        <f t="shared" si="2"/>
        <v>1.02413367971672</v>
      </c>
      <c r="CA6" s="9">
        <f t="shared" si="2"/>
        <v>1.02413367971672</v>
      </c>
      <c r="CB6" s="9">
        <f t="shared" si="2"/>
        <v>0.853871964321762</v>
      </c>
      <c r="CC6" s="9">
        <f t="shared" si="2"/>
        <v>0.925753971627887</v>
      </c>
      <c r="CD6" s="9">
        <f t="shared" si="2"/>
        <v>0.8</v>
      </c>
      <c r="CE6" s="9">
        <f t="shared" si="2"/>
        <v>0.8</v>
      </c>
      <c r="CF6" s="37">
        <f t="shared" si="2"/>
        <v>1.04139268515823</v>
      </c>
      <c r="CG6" t="s">
        <v>144</v>
      </c>
      <c r="CH6" s="38">
        <f>SUM(H6:CF6)</f>
        <v>86.2797027441309</v>
      </c>
      <c r="CM6" s="9">
        <f>MAX(LOG10(CM4/7),$C$6)*CM5</f>
        <v>1</v>
      </c>
      <c r="CN6" s="9">
        <f>MAX(LOG10(CN4/7),$C$6)*CN5</f>
        <v>1.24480707142514</v>
      </c>
      <c r="CO6" s="9">
        <f>MAX(LOG10(CO4/7),$C$6)*CO5</f>
        <v>1.40532196229464</v>
      </c>
    </row>
    <row r="7" ht="21.95" customHeight="1" spans="7:93">
      <c r="G7" s="3" t="s">
        <v>145</v>
      </c>
      <c r="H7" s="6">
        <f t="shared" ref="H7:AM7" si="3">SUM(H9:H49)</f>
        <v>1</v>
      </c>
      <c r="I7" s="6">
        <f t="shared" si="3"/>
        <v>1</v>
      </c>
      <c r="J7" s="6">
        <f t="shared" si="3"/>
        <v>1</v>
      </c>
      <c r="K7" s="6">
        <f t="shared" si="3"/>
        <v>0</v>
      </c>
      <c r="L7" s="6">
        <f t="shared" si="3"/>
        <v>1.1</v>
      </c>
      <c r="M7" s="6">
        <f t="shared" si="3"/>
        <v>1.1</v>
      </c>
      <c r="N7" s="6">
        <f t="shared" si="3"/>
        <v>1</v>
      </c>
      <c r="O7" s="6">
        <f t="shared" si="3"/>
        <v>1</v>
      </c>
      <c r="P7" s="6">
        <f t="shared" si="3"/>
        <v>1</v>
      </c>
      <c r="Q7" s="6">
        <f t="shared" si="3"/>
        <v>0.5</v>
      </c>
      <c r="R7" s="6">
        <f t="shared" si="3"/>
        <v>1</v>
      </c>
      <c r="S7" s="6">
        <f t="shared" si="3"/>
        <v>1</v>
      </c>
      <c r="T7" s="6">
        <f t="shared" si="3"/>
        <v>0.9</v>
      </c>
      <c r="U7" s="6">
        <f t="shared" si="3"/>
        <v>1</v>
      </c>
      <c r="V7" s="6">
        <f t="shared" si="3"/>
        <v>1</v>
      </c>
      <c r="W7" s="6">
        <f t="shared" si="3"/>
        <v>1</v>
      </c>
      <c r="X7" s="6">
        <f t="shared" si="3"/>
        <v>1</v>
      </c>
      <c r="Y7" s="6">
        <f t="shared" si="3"/>
        <v>1</v>
      </c>
      <c r="Z7" s="6">
        <f t="shared" si="3"/>
        <v>1</v>
      </c>
      <c r="AA7" s="6">
        <f t="shared" si="3"/>
        <v>1</v>
      </c>
      <c r="AB7" s="6">
        <f t="shared" si="3"/>
        <v>1</v>
      </c>
      <c r="AC7" s="6">
        <f t="shared" si="3"/>
        <v>1</v>
      </c>
      <c r="AD7" s="6">
        <f t="shared" si="3"/>
        <v>1</v>
      </c>
      <c r="AE7" s="6">
        <f t="shared" si="3"/>
        <v>1</v>
      </c>
      <c r="AF7" s="6">
        <f t="shared" si="3"/>
        <v>1</v>
      </c>
      <c r="AG7" s="6">
        <f t="shared" si="3"/>
        <v>0</v>
      </c>
      <c r="AH7" s="6">
        <f t="shared" si="3"/>
        <v>1</v>
      </c>
      <c r="AI7" s="6">
        <f t="shared" si="3"/>
        <v>1</v>
      </c>
      <c r="AJ7" s="6">
        <f t="shared" si="3"/>
        <v>1</v>
      </c>
      <c r="AK7" s="6">
        <f t="shared" si="3"/>
        <v>1</v>
      </c>
      <c r="AL7" s="6">
        <f t="shared" si="3"/>
        <v>0.7</v>
      </c>
      <c r="AM7" s="6">
        <f t="shared" si="3"/>
        <v>1.2</v>
      </c>
      <c r="AN7" s="6">
        <f t="shared" ref="AN7:BS7" si="4">SUM(AN9:AN49)</f>
        <v>1</v>
      </c>
      <c r="AO7" s="6">
        <f t="shared" si="4"/>
        <v>1</v>
      </c>
      <c r="AP7" s="6">
        <f t="shared" si="4"/>
        <v>1</v>
      </c>
      <c r="AQ7" s="6">
        <f t="shared" si="4"/>
        <v>1</v>
      </c>
      <c r="AR7" s="6">
        <f t="shared" si="4"/>
        <v>1</v>
      </c>
      <c r="AS7" s="6">
        <f t="shared" si="4"/>
        <v>1</v>
      </c>
      <c r="AT7" s="6">
        <f t="shared" si="4"/>
        <v>1</v>
      </c>
      <c r="AU7" s="27">
        <f>SUM(AU9:AU49)</f>
        <v>1</v>
      </c>
      <c r="AV7" s="27">
        <f>SUM(AV9:AV49)</f>
        <v>1</v>
      </c>
      <c r="AW7" s="27">
        <f>SUM(AW9:AW49)</f>
        <v>1</v>
      </c>
      <c r="AX7" s="6">
        <f t="shared" si="4"/>
        <v>1</v>
      </c>
      <c r="AY7" s="6">
        <f t="shared" si="4"/>
        <v>1</v>
      </c>
      <c r="AZ7" s="27">
        <f>SUM(AZ9:AZ49)</f>
        <v>1</v>
      </c>
      <c r="BA7" s="6">
        <f t="shared" si="4"/>
        <v>1</v>
      </c>
      <c r="BB7" s="6">
        <f t="shared" si="4"/>
        <v>1</v>
      </c>
      <c r="BC7" s="6">
        <f t="shared" si="4"/>
        <v>1</v>
      </c>
      <c r="BD7" s="6">
        <f t="shared" si="4"/>
        <v>1</v>
      </c>
      <c r="BE7" s="6">
        <f t="shared" si="4"/>
        <v>1</v>
      </c>
      <c r="BF7" s="6">
        <f t="shared" si="4"/>
        <v>1</v>
      </c>
      <c r="BG7" s="6">
        <f t="shared" si="4"/>
        <v>1</v>
      </c>
      <c r="BH7" s="6">
        <f t="shared" si="4"/>
        <v>1</v>
      </c>
      <c r="BI7" s="6">
        <f t="shared" si="4"/>
        <v>1</v>
      </c>
      <c r="BJ7" s="6">
        <f t="shared" si="4"/>
        <v>1</v>
      </c>
      <c r="BK7" s="6">
        <f t="shared" si="4"/>
        <v>1</v>
      </c>
      <c r="BL7" s="6">
        <f t="shared" si="4"/>
        <v>1</v>
      </c>
      <c r="BM7" s="6">
        <f t="shared" si="4"/>
        <v>1</v>
      </c>
      <c r="BN7" s="6">
        <f t="shared" si="4"/>
        <v>1</v>
      </c>
      <c r="BO7" s="6">
        <f t="shared" si="4"/>
        <v>1</v>
      </c>
      <c r="BP7" s="6">
        <f t="shared" si="4"/>
        <v>1</v>
      </c>
      <c r="BQ7" s="6">
        <f t="shared" si="4"/>
        <v>1</v>
      </c>
      <c r="BR7" s="6">
        <f t="shared" si="4"/>
        <v>1</v>
      </c>
      <c r="BS7" s="6">
        <f t="shared" si="4"/>
        <v>0.6</v>
      </c>
      <c r="BT7" s="6">
        <f t="shared" ref="BT7:CF7" si="5">SUM(BT9:BT49)</f>
        <v>1</v>
      </c>
      <c r="BU7" s="6">
        <f t="shared" si="5"/>
        <v>1</v>
      </c>
      <c r="BV7" s="6">
        <f t="shared" si="5"/>
        <v>1</v>
      </c>
      <c r="BW7" s="6">
        <f t="shared" si="5"/>
        <v>1</v>
      </c>
      <c r="BX7" s="6">
        <f t="shared" si="5"/>
        <v>1</v>
      </c>
      <c r="BY7" s="6">
        <f t="shared" si="5"/>
        <v>1</v>
      </c>
      <c r="BZ7" s="6">
        <f t="shared" si="5"/>
        <v>1</v>
      </c>
      <c r="CA7" s="6">
        <f t="shared" si="5"/>
        <v>1</v>
      </c>
      <c r="CB7" s="6">
        <f t="shared" si="5"/>
        <v>1</v>
      </c>
      <c r="CC7" s="6">
        <f t="shared" si="5"/>
        <v>1</v>
      </c>
      <c r="CD7" s="6">
        <f t="shared" si="5"/>
        <v>1</v>
      </c>
      <c r="CE7" s="6">
        <f t="shared" si="5"/>
        <v>1</v>
      </c>
      <c r="CF7" s="34">
        <f t="shared" si="5"/>
        <v>0</v>
      </c>
      <c r="CM7" s="6">
        <f>SUM(CM9:CM49)</f>
        <v>0</v>
      </c>
      <c r="CN7" s="6">
        <f>SUM(CN9:CN49)</f>
        <v>0</v>
      </c>
      <c r="CO7" s="6">
        <f>SUM(CO9:CO49)</f>
        <v>0</v>
      </c>
    </row>
    <row r="8" ht="31" customHeight="1" spans="1:93">
      <c r="A8" s="10" t="s">
        <v>146</v>
      </c>
      <c r="B8" s="10" t="s">
        <v>147</v>
      </c>
      <c r="C8" s="10" t="s">
        <v>148</v>
      </c>
      <c r="D8" s="10" t="s">
        <v>149</v>
      </c>
      <c r="E8" s="10" t="s">
        <v>150</v>
      </c>
      <c r="F8" s="10" t="s">
        <v>151</v>
      </c>
      <c r="G8" s="10" t="s">
        <v>152</v>
      </c>
      <c r="H8" s="6">
        <f t="shared" ref="H8:AO8" si="6">IF(H5&lt;&gt;0,H7-1,H7)</f>
        <v>0</v>
      </c>
      <c r="I8" s="6">
        <f t="shared" si="6"/>
        <v>0</v>
      </c>
      <c r="J8" s="6">
        <f t="shared" si="6"/>
        <v>0</v>
      </c>
      <c r="K8" s="6">
        <f t="shared" si="6"/>
        <v>0</v>
      </c>
      <c r="L8" s="6">
        <f t="shared" si="6"/>
        <v>0.1</v>
      </c>
      <c r="M8" s="6">
        <f t="shared" si="6"/>
        <v>0.1</v>
      </c>
      <c r="N8" s="6">
        <f t="shared" si="6"/>
        <v>0</v>
      </c>
      <c r="O8" s="6">
        <f t="shared" si="6"/>
        <v>0</v>
      </c>
      <c r="P8" s="6">
        <f t="shared" si="6"/>
        <v>0</v>
      </c>
      <c r="Q8" s="6">
        <f t="shared" si="6"/>
        <v>-0.5</v>
      </c>
      <c r="R8" s="6">
        <f t="shared" si="6"/>
        <v>0</v>
      </c>
      <c r="S8" s="6">
        <f t="shared" si="6"/>
        <v>0</v>
      </c>
      <c r="T8" s="6">
        <f t="shared" si="6"/>
        <v>-0.1</v>
      </c>
      <c r="U8" s="6">
        <f t="shared" si="6"/>
        <v>0</v>
      </c>
      <c r="V8" s="6">
        <f t="shared" si="6"/>
        <v>0</v>
      </c>
      <c r="W8" s="6">
        <f t="shared" si="6"/>
        <v>0</v>
      </c>
      <c r="X8" s="6">
        <f t="shared" si="6"/>
        <v>0</v>
      </c>
      <c r="Y8" s="6">
        <f t="shared" si="6"/>
        <v>0</v>
      </c>
      <c r="Z8" s="6">
        <f t="shared" si="6"/>
        <v>0</v>
      </c>
      <c r="AA8" s="6">
        <f t="shared" si="6"/>
        <v>0</v>
      </c>
      <c r="AB8" s="6">
        <f t="shared" si="6"/>
        <v>0</v>
      </c>
      <c r="AC8" s="6">
        <f t="shared" si="6"/>
        <v>0</v>
      </c>
      <c r="AD8" s="6">
        <f t="shared" si="6"/>
        <v>0</v>
      </c>
      <c r="AE8" s="6">
        <f t="shared" si="6"/>
        <v>0</v>
      </c>
      <c r="AF8" s="6">
        <f t="shared" si="6"/>
        <v>0</v>
      </c>
      <c r="AG8" s="6">
        <f t="shared" si="6"/>
        <v>0</v>
      </c>
      <c r="AH8" s="6">
        <f t="shared" si="6"/>
        <v>0</v>
      </c>
      <c r="AI8" s="6">
        <f t="shared" si="6"/>
        <v>0</v>
      </c>
      <c r="AJ8" s="6">
        <f t="shared" si="6"/>
        <v>0</v>
      </c>
      <c r="AK8" s="6">
        <f t="shared" si="6"/>
        <v>0</v>
      </c>
      <c r="AL8" s="6">
        <f t="shared" si="6"/>
        <v>-0.3</v>
      </c>
      <c r="AM8" s="6">
        <f t="shared" si="6"/>
        <v>0.2</v>
      </c>
      <c r="AN8" s="6">
        <f t="shared" si="6"/>
        <v>0</v>
      </c>
      <c r="AO8" s="6">
        <f t="shared" si="6"/>
        <v>0</v>
      </c>
      <c r="AP8" s="6">
        <f t="shared" ref="AP8:BU8" si="7">IF(AP5&lt;&gt;0,AP7-1,AP7)</f>
        <v>0</v>
      </c>
      <c r="AQ8" s="6">
        <f t="shared" si="7"/>
        <v>0</v>
      </c>
      <c r="AR8" s="6">
        <f t="shared" si="7"/>
        <v>0</v>
      </c>
      <c r="AS8" s="6">
        <f t="shared" si="7"/>
        <v>0</v>
      </c>
      <c r="AT8" s="6">
        <f t="shared" si="7"/>
        <v>0</v>
      </c>
      <c r="AU8" s="6">
        <f t="shared" si="7"/>
        <v>0</v>
      </c>
      <c r="AV8" s="6">
        <f t="shared" si="7"/>
        <v>0</v>
      </c>
      <c r="AW8" s="6">
        <f t="shared" si="7"/>
        <v>0</v>
      </c>
      <c r="AX8" s="6">
        <f t="shared" si="7"/>
        <v>0</v>
      </c>
      <c r="AY8" s="6">
        <f t="shared" si="7"/>
        <v>0</v>
      </c>
      <c r="AZ8" s="6">
        <f t="shared" si="7"/>
        <v>0</v>
      </c>
      <c r="BA8" s="6">
        <f t="shared" si="7"/>
        <v>0</v>
      </c>
      <c r="BB8" s="6">
        <f t="shared" si="7"/>
        <v>0</v>
      </c>
      <c r="BC8" s="6">
        <f t="shared" si="7"/>
        <v>0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>
        <f t="shared" si="7"/>
        <v>0</v>
      </c>
      <c r="BR8" s="6">
        <f t="shared" si="7"/>
        <v>0</v>
      </c>
      <c r="BS8" s="6">
        <f t="shared" si="7"/>
        <v>-0.4</v>
      </c>
      <c r="BT8" s="6">
        <f t="shared" si="7"/>
        <v>0</v>
      </c>
      <c r="BU8" s="6">
        <f t="shared" si="7"/>
        <v>0</v>
      </c>
      <c r="BV8" s="6">
        <f t="shared" ref="BV8:CF8" si="8">IF(BV5&lt;&gt;0,BV7-1,BV7)</f>
        <v>0</v>
      </c>
      <c r="BW8" s="6">
        <f t="shared" si="8"/>
        <v>0</v>
      </c>
      <c r="BX8" s="6">
        <f t="shared" si="8"/>
        <v>0</v>
      </c>
      <c r="BY8" s="6">
        <f t="shared" si="8"/>
        <v>0</v>
      </c>
      <c r="BZ8" s="6">
        <f t="shared" si="8"/>
        <v>0</v>
      </c>
      <c r="CA8" s="6">
        <f t="shared" si="8"/>
        <v>0</v>
      </c>
      <c r="CB8" s="6">
        <f t="shared" si="8"/>
        <v>0</v>
      </c>
      <c r="CC8" s="6">
        <f t="shared" si="8"/>
        <v>0</v>
      </c>
      <c r="CD8" s="6">
        <f t="shared" si="8"/>
        <v>0</v>
      </c>
      <c r="CE8" s="6">
        <f t="shared" si="8"/>
        <v>0</v>
      </c>
      <c r="CF8" s="34">
        <f t="shared" si="8"/>
        <v>-1</v>
      </c>
      <c r="CM8" s="6">
        <f>IF(CM5&lt;&gt;0,CM7-1,CM7)</f>
        <v>-1</v>
      </c>
      <c r="CN8" s="6">
        <f>IF(CN5&lt;&gt;0,CN7-1,CN7)</f>
        <v>-1</v>
      </c>
      <c r="CO8" s="6">
        <f>IF(CO5&lt;&gt;0,CO7-1,CO7)</f>
        <v>-1</v>
      </c>
    </row>
    <row r="9" spans="1:84">
      <c r="A9" t="s">
        <v>153</v>
      </c>
      <c r="B9" s="11" t="s">
        <v>1</v>
      </c>
      <c r="C9" t="s">
        <v>154</v>
      </c>
      <c r="D9">
        <v>1</v>
      </c>
      <c r="E9" s="12">
        <f>D9*$C$2</f>
        <v>2.53763831600385</v>
      </c>
      <c r="F9" s="12">
        <f>SUMPRODUCT(H$6:CF$6,H9:CF9)</f>
        <v>3.24541257263153</v>
      </c>
      <c r="G9" s="12">
        <f t="shared" ref="G9:G48" si="9">F9-E9</f>
        <v>0.707774256627677</v>
      </c>
      <c r="H9" s="13"/>
      <c r="R9">
        <v>0.8</v>
      </c>
      <c r="Y9" s="1">
        <v>1</v>
      </c>
      <c r="CF9" s="16"/>
    </row>
    <row r="10" spans="1:37">
      <c r="A10" t="s">
        <v>155</v>
      </c>
      <c r="B10" s="14" t="s">
        <v>1</v>
      </c>
      <c r="C10" t="s">
        <v>154</v>
      </c>
      <c r="D10">
        <v>1</v>
      </c>
      <c r="E10" s="12">
        <f t="shared" ref="E10:E48" si="10">D10*$C$2</f>
        <v>2.53763831600385</v>
      </c>
      <c r="F10" s="12">
        <f t="shared" ref="F10:F48" si="11">SUMPRODUCT(H$6:CF$6,H10:CF10)</f>
        <v>3.01227753691332</v>
      </c>
      <c r="G10" s="12">
        <f t="shared" si="9"/>
        <v>0.474639220909473</v>
      </c>
      <c r="AJ10" s="19">
        <v>0.5</v>
      </c>
      <c r="AK10" s="1">
        <v>1</v>
      </c>
    </row>
    <row r="11" spans="1:84">
      <c r="A11" t="s">
        <v>156</v>
      </c>
      <c r="B11" s="14" t="s">
        <v>8</v>
      </c>
      <c r="C11" t="s">
        <v>154</v>
      </c>
      <c r="D11">
        <v>1</v>
      </c>
      <c r="E11" s="12">
        <f t="shared" si="10"/>
        <v>2.53763831600385</v>
      </c>
      <c r="F11" s="12">
        <f t="shared" si="11"/>
        <v>2.91690233349454</v>
      </c>
      <c r="G11" s="12">
        <f t="shared" si="9"/>
        <v>0.379264017490685</v>
      </c>
      <c r="AE11" s="1">
        <v>0.5</v>
      </c>
      <c r="AN11" s="1">
        <v>1</v>
      </c>
      <c r="AO11" s="1">
        <v>1</v>
      </c>
      <c r="CF11" s="16"/>
    </row>
    <row r="12" spans="1:84">
      <c r="A12" t="s">
        <v>157</v>
      </c>
      <c r="B12" s="11" t="s">
        <v>3</v>
      </c>
      <c r="C12" t="s">
        <v>154</v>
      </c>
      <c r="D12">
        <v>1</v>
      </c>
      <c r="E12" s="12">
        <f t="shared" si="10"/>
        <v>2.53763831600385</v>
      </c>
      <c r="F12" s="12">
        <f t="shared" si="11"/>
        <v>1.92693598216088</v>
      </c>
      <c r="G12" s="12">
        <f t="shared" si="9"/>
        <v>-0.61070233384297</v>
      </c>
      <c r="Q12">
        <v>0.5</v>
      </c>
      <c r="BD12" s="1">
        <v>1</v>
      </c>
      <c r="BE12" s="1">
        <v>1</v>
      </c>
      <c r="CF12" s="16"/>
    </row>
    <row r="13" spans="1:91">
      <c r="A13" t="s">
        <v>158</v>
      </c>
      <c r="B13" s="15" t="s">
        <v>9</v>
      </c>
      <c r="C13" t="s">
        <v>154</v>
      </c>
      <c r="D13" s="16">
        <v>1</v>
      </c>
      <c r="E13" s="17">
        <f t="shared" si="10"/>
        <v>2.53763831600385</v>
      </c>
      <c r="F13" s="17">
        <f t="shared" si="11"/>
        <v>2.80253349509797</v>
      </c>
      <c r="G13" s="17">
        <f t="shared" si="9"/>
        <v>0.264895179094119</v>
      </c>
      <c r="M13" s="16"/>
      <c r="O13" s="16"/>
      <c r="T13" s="16"/>
      <c r="AH13" s="16"/>
      <c r="AI13" s="16"/>
      <c r="AL13" s="16"/>
      <c r="AM13" s="16"/>
      <c r="AP13" s="16"/>
      <c r="AQ13" s="16"/>
      <c r="BF13" s="16"/>
      <c r="BG13" s="16"/>
      <c r="BK13" s="16"/>
      <c r="BP13" s="16"/>
      <c r="BT13" s="16"/>
      <c r="BU13" s="16"/>
      <c r="BV13" s="30">
        <v>0.5</v>
      </c>
      <c r="BW13" s="16"/>
      <c r="BX13" s="16"/>
      <c r="BY13" s="16">
        <v>0.4</v>
      </c>
      <c r="BZ13" s="16"/>
      <c r="CA13" s="16"/>
      <c r="CB13" s="16"/>
      <c r="CC13" s="31">
        <v>1</v>
      </c>
      <c r="CD13" s="16"/>
      <c r="CE13" s="31">
        <v>1</v>
      </c>
      <c r="CF13" s="16"/>
      <c r="CM13" s="16"/>
    </row>
    <row r="14" spans="1:84">
      <c r="A14" t="s">
        <v>159</v>
      </c>
      <c r="B14" s="11" t="s">
        <v>9</v>
      </c>
      <c r="C14" t="s">
        <v>154</v>
      </c>
      <c r="D14">
        <v>1</v>
      </c>
      <c r="E14" s="12">
        <f t="shared" si="10"/>
        <v>2.53763831600385</v>
      </c>
      <c r="F14" s="12">
        <f t="shared" si="11"/>
        <v>3.18963235438764</v>
      </c>
      <c r="G14" s="12">
        <f t="shared" si="9"/>
        <v>0.651994038383792</v>
      </c>
      <c r="P14">
        <v>0.4</v>
      </c>
      <c r="AL14" s="19">
        <v>0.4</v>
      </c>
      <c r="AM14" s="19">
        <v>0.8</v>
      </c>
      <c r="BP14" s="19">
        <v>0.6</v>
      </c>
      <c r="CF14" s="16"/>
    </row>
    <row r="15" spans="1:91">
      <c r="A15" t="s">
        <v>160</v>
      </c>
      <c r="B15" s="11" t="s">
        <v>8</v>
      </c>
      <c r="C15" t="s">
        <v>154</v>
      </c>
      <c r="D15">
        <v>1</v>
      </c>
      <c r="E15" s="12">
        <f t="shared" si="10"/>
        <v>2.53763831600385</v>
      </c>
      <c r="F15" s="12">
        <f t="shared" si="11"/>
        <v>2.48833157763598</v>
      </c>
      <c r="G15" s="12">
        <f t="shared" si="9"/>
        <v>-0.0493067383678736</v>
      </c>
      <c r="P15" s="20"/>
      <c r="AM15">
        <v>0.4</v>
      </c>
      <c r="AR15" s="1">
        <v>1</v>
      </c>
      <c r="AS15" s="1">
        <v>1</v>
      </c>
      <c r="CM15" s="16"/>
    </row>
    <row r="16" spans="1:84">
      <c r="A16" t="s">
        <v>161</v>
      </c>
      <c r="B16" s="18" t="s">
        <v>2</v>
      </c>
      <c r="C16" t="s">
        <v>154</v>
      </c>
      <c r="D16" s="16">
        <v>1</v>
      </c>
      <c r="E16" s="17">
        <f t="shared" si="10"/>
        <v>2.53763831600385</v>
      </c>
      <c r="F16" s="17">
        <f t="shared" si="11"/>
        <v>2.66182101001891</v>
      </c>
      <c r="G16" s="17">
        <f t="shared" si="9"/>
        <v>0.124182694015061</v>
      </c>
      <c r="M16" s="16"/>
      <c r="O16" s="16"/>
      <c r="T16" s="16"/>
      <c r="AH16" s="16"/>
      <c r="AI16" s="16"/>
      <c r="AL16" s="16"/>
      <c r="AM16" s="16"/>
      <c r="AP16" s="16"/>
      <c r="AQ16" s="16"/>
      <c r="BF16" s="16"/>
      <c r="BG16" s="16"/>
      <c r="BK16" s="16"/>
      <c r="BP16" s="29">
        <v>0.4</v>
      </c>
      <c r="BT16" s="16"/>
      <c r="BU16" s="16"/>
      <c r="BV16" s="16"/>
      <c r="BW16" s="16"/>
      <c r="BX16" s="31">
        <v>1</v>
      </c>
      <c r="BY16" s="16"/>
      <c r="BZ16" s="31">
        <v>1</v>
      </c>
      <c r="CA16" s="16"/>
      <c r="CB16" s="16"/>
      <c r="CC16" s="16"/>
      <c r="CD16" s="16"/>
      <c r="CE16" s="16"/>
      <c r="CF16" s="16"/>
    </row>
    <row r="17" spans="1:91">
      <c r="A17" t="s">
        <v>162</v>
      </c>
      <c r="B17" s="11" t="s">
        <v>163</v>
      </c>
      <c r="C17" t="s">
        <v>154</v>
      </c>
      <c r="D17">
        <v>1</v>
      </c>
      <c r="E17" s="12">
        <f t="shared" si="10"/>
        <v>2.53763831600385</v>
      </c>
      <c r="F17" s="12">
        <f t="shared" si="11"/>
        <v>3.93305321036939</v>
      </c>
      <c r="G17" s="12">
        <f t="shared" si="9"/>
        <v>1.39541489436554</v>
      </c>
      <c r="W17">
        <v>1</v>
      </c>
      <c r="X17">
        <v>1</v>
      </c>
      <c r="AA17" s="1"/>
      <c r="AM17" s="20"/>
      <c r="AQ17" s="19"/>
      <c r="AW17" s="16"/>
      <c r="BK17" s="1">
        <v>1</v>
      </c>
      <c r="CF17" s="16"/>
      <c r="CM17" s="39"/>
    </row>
    <row r="18" spans="1:84">
      <c r="A18" t="s">
        <v>164</v>
      </c>
      <c r="B18" s="11" t="s">
        <v>1</v>
      </c>
      <c r="C18" t="s">
        <v>154</v>
      </c>
      <c r="D18">
        <v>1</v>
      </c>
      <c r="E18" s="12">
        <f t="shared" si="10"/>
        <v>2.53763831600385</v>
      </c>
      <c r="F18" s="12">
        <f t="shared" si="11"/>
        <v>0.8</v>
      </c>
      <c r="G18" s="12">
        <f t="shared" si="9"/>
        <v>-1.73763831600385</v>
      </c>
      <c r="W18" s="1"/>
      <c r="X18" s="1"/>
      <c r="AA18">
        <v>1</v>
      </c>
      <c r="CF18" s="16"/>
    </row>
    <row r="19" customFormat="1" spans="1:84">
      <c r="A19" t="s">
        <v>165</v>
      </c>
      <c r="B19" s="11" t="s">
        <v>2</v>
      </c>
      <c r="C19" t="s">
        <v>154</v>
      </c>
      <c r="D19">
        <v>1</v>
      </c>
      <c r="E19" s="12">
        <f t="shared" si="10"/>
        <v>2.53763831600385</v>
      </c>
      <c r="F19" s="12">
        <f t="shared" si="11"/>
        <v>2.62323062730485</v>
      </c>
      <c r="G19" s="12">
        <f t="shared" si="9"/>
        <v>0.085592311300998</v>
      </c>
      <c r="AH19" s="1">
        <v>0.5</v>
      </c>
      <c r="AI19" s="19">
        <v>1</v>
      </c>
      <c r="CF19" s="16"/>
    </row>
    <row r="20" customFormat="1" spans="1:20">
      <c r="A20" t="s">
        <v>166</v>
      </c>
      <c r="B20" s="11" t="s">
        <v>1</v>
      </c>
      <c r="C20" t="s">
        <v>154</v>
      </c>
      <c r="D20">
        <v>0.6</v>
      </c>
      <c r="E20" s="12">
        <f t="shared" si="10"/>
        <v>1.52258298960231</v>
      </c>
      <c r="F20" s="12">
        <f t="shared" si="11"/>
        <v>1.30712212556233</v>
      </c>
      <c r="G20" s="12">
        <f t="shared" si="9"/>
        <v>-0.215460864039976</v>
      </c>
      <c r="M20">
        <v>0.7</v>
      </c>
      <c r="T20">
        <v>0.4</v>
      </c>
    </row>
    <row r="21" customFormat="1" spans="1:59">
      <c r="A21" t="s">
        <v>167</v>
      </c>
      <c r="B21" s="11" t="s">
        <v>3</v>
      </c>
      <c r="C21" t="s">
        <v>154</v>
      </c>
      <c r="D21">
        <v>0.5</v>
      </c>
      <c r="E21" s="12">
        <f t="shared" si="10"/>
        <v>1.26881915800193</v>
      </c>
      <c r="F21" s="12">
        <f t="shared" si="11"/>
        <v>1.78866978542278</v>
      </c>
      <c r="G21" s="12">
        <f t="shared" si="9"/>
        <v>0.519850627420856</v>
      </c>
      <c r="L21">
        <v>0.9</v>
      </c>
      <c r="M21" s="20"/>
      <c r="T21" s="20"/>
      <c r="BF21" s="19"/>
      <c r="BG21" s="19"/>
    </row>
    <row r="22" spans="1:84">
      <c r="A22" t="s">
        <v>168</v>
      </c>
      <c r="B22" s="15" t="s">
        <v>3</v>
      </c>
      <c r="C22" t="s">
        <v>154</v>
      </c>
      <c r="D22" s="16">
        <v>0.4</v>
      </c>
      <c r="E22" s="17">
        <f t="shared" si="10"/>
        <v>1.01505532640154</v>
      </c>
      <c r="F22" s="17">
        <f t="shared" si="11"/>
        <v>1.02899597348884</v>
      </c>
      <c r="G22" s="17">
        <f t="shared" si="9"/>
        <v>0.0139406470873029</v>
      </c>
      <c r="M22" s="16"/>
      <c r="O22" s="16"/>
      <c r="T22" s="16"/>
      <c r="AH22" s="16">
        <v>0.5</v>
      </c>
      <c r="AI22" s="16"/>
      <c r="AJ22" s="16"/>
      <c r="AL22" s="16"/>
      <c r="AM22" s="16"/>
      <c r="AP22" s="16"/>
      <c r="AQ22" s="16"/>
      <c r="BF22" s="16"/>
      <c r="BG22" s="16"/>
      <c r="BK22" s="16"/>
      <c r="BP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</row>
    <row r="23" customFormat="1" spans="1:84">
      <c r="A23" t="s">
        <v>169</v>
      </c>
      <c r="B23" s="14" t="s">
        <v>170</v>
      </c>
      <c r="C23" t="s">
        <v>154</v>
      </c>
      <c r="D23">
        <v>1.5</v>
      </c>
      <c r="E23" s="12">
        <f t="shared" si="10"/>
        <v>3.80645747400578</v>
      </c>
      <c r="F23" s="12">
        <f t="shared" si="11"/>
        <v>3.81057697987154</v>
      </c>
      <c r="G23" s="12">
        <f t="shared" si="9"/>
        <v>0.00411950586576015</v>
      </c>
      <c r="AT23" s="1">
        <v>1</v>
      </c>
      <c r="AU23" s="1">
        <v>1</v>
      </c>
      <c r="AX23" s="1">
        <v>1</v>
      </c>
      <c r="AY23" s="1">
        <v>1</v>
      </c>
      <c r="AZ23" s="19">
        <v>0.8</v>
      </c>
      <c r="BA23" s="1">
        <v>1</v>
      </c>
      <c r="CF23" s="16"/>
    </row>
    <row r="24" spans="1:84">
      <c r="A24" t="s">
        <v>171</v>
      </c>
      <c r="B24" s="11" t="s">
        <v>15</v>
      </c>
      <c r="C24" t="s">
        <v>154</v>
      </c>
      <c r="D24">
        <v>0</v>
      </c>
      <c r="E24" s="12">
        <f t="shared" si="10"/>
        <v>0</v>
      </c>
      <c r="F24" s="12">
        <f t="shared" si="11"/>
        <v>0</v>
      </c>
      <c r="G24" s="12">
        <f t="shared" si="9"/>
        <v>0</v>
      </c>
      <c r="CF24" s="16"/>
    </row>
    <row r="25" customFormat="1" spans="1:91">
      <c r="A25" t="s">
        <v>172</v>
      </c>
      <c r="B25" s="11" t="s">
        <v>2</v>
      </c>
      <c r="C25" t="s">
        <v>154</v>
      </c>
      <c r="D25">
        <v>0</v>
      </c>
      <c r="E25" s="12">
        <f t="shared" si="10"/>
        <v>0</v>
      </c>
      <c r="F25" s="12">
        <f t="shared" si="11"/>
        <v>0</v>
      </c>
      <c r="G25" s="12">
        <f t="shared" si="9"/>
        <v>0</v>
      </c>
      <c r="CF25" s="16"/>
      <c r="CM25" s="16"/>
    </row>
    <row r="26" spans="1:91">
      <c r="A26" t="s">
        <v>173</v>
      </c>
      <c r="B26" s="15" t="s">
        <v>14</v>
      </c>
      <c r="C26" t="s">
        <v>154</v>
      </c>
      <c r="D26" s="16">
        <v>0</v>
      </c>
      <c r="E26" s="17">
        <f t="shared" si="10"/>
        <v>0</v>
      </c>
      <c r="F26" s="17">
        <f t="shared" si="11"/>
        <v>0</v>
      </c>
      <c r="G26" s="17">
        <f t="shared" si="9"/>
        <v>0</v>
      </c>
      <c r="M26" s="16"/>
      <c r="O26" s="16"/>
      <c r="T26" s="16"/>
      <c r="AH26" s="16"/>
      <c r="AI26" s="16"/>
      <c r="AL26" s="16"/>
      <c r="AM26" s="16"/>
      <c r="AP26" s="16"/>
      <c r="AQ26" s="16"/>
      <c r="BF26" s="16"/>
      <c r="BG26" s="16"/>
      <c r="BK26" s="16"/>
      <c r="BP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M26" s="16"/>
    </row>
    <row r="27" spans="1:91">
      <c r="A27" t="s">
        <v>174</v>
      </c>
      <c r="B27" s="11" t="s">
        <v>3</v>
      </c>
      <c r="C27" t="s">
        <v>154</v>
      </c>
      <c r="D27">
        <v>0.6</v>
      </c>
      <c r="E27" s="12">
        <f t="shared" si="10"/>
        <v>1.52258298960231</v>
      </c>
      <c r="F27" s="12">
        <f t="shared" si="11"/>
        <v>1.50028520081468</v>
      </c>
      <c r="G27" s="12">
        <f t="shared" si="9"/>
        <v>-0.0222977887876292</v>
      </c>
      <c r="T27" s="19"/>
      <c r="BF27" s="19"/>
      <c r="BG27" s="19"/>
      <c r="BT27" s="20">
        <v>0.4</v>
      </c>
      <c r="BU27" s="20">
        <v>0.4</v>
      </c>
      <c r="BV27" s="20"/>
      <c r="BW27" s="20">
        <v>0.4</v>
      </c>
      <c r="CM27" s="40"/>
    </row>
    <row r="28" spans="1:59">
      <c r="A28" t="s">
        <v>175</v>
      </c>
      <c r="B28" s="11" t="s">
        <v>1</v>
      </c>
      <c r="C28" t="s">
        <v>154</v>
      </c>
      <c r="D28">
        <v>0.5</v>
      </c>
      <c r="E28" s="12">
        <f t="shared" si="10"/>
        <v>1.26881915800193</v>
      </c>
      <c r="F28" s="12">
        <f t="shared" si="11"/>
        <v>1.24243434212833</v>
      </c>
      <c r="G28" s="12">
        <f t="shared" si="9"/>
        <v>-0.0263848158735998</v>
      </c>
      <c r="T28" s="19"/>
      <c r="AL28" s="20">
        <v>0.3</v>
      </c>
      <c r="BF28" s="20">
        <v>0.3</v>
      </c>
      <c r="BG28" s="20">
        <v>0.4</v>
      </c>
    </row>
    <row r="29" spans="1:91">
      <c r="A29" t="s">
        <v>176</v>
      </c>
      <c r="B29" s="11" t="s">
        <v>1</v>
      </c>
      <c r="C29" t="s">
        <v>154</v>
      </c>
      <c r="D29">
        <v>1</v>
      </c>
      <c r="E29" s="12">
        <f t="shared" si="10"/>
        <v>2.53763831600385</v>
      </c>
      <c r="F29" s="12">
        <f t="shared" si="11"/>
        <v>2.50900210036039</v>
      </c>
      <c r="G29" s="12">
        <f t="shared" si="9"/>
        <v>-0.0286362156434583</v>
      </c>
      <c r="AE29" s="20">
        <v>0.5</v>
      </c>
      <c r="AF29">
        <v>1</v>
      </c>
      <c r="AG29" s="16"/>
      <c r="BS29" s="19">
        <v>0.6</v>
      </c>
      <c r="CF29" s="16"/>
      <c r="CM29" s="16"/>
    </row>
    <row r="30" spans="1:84">
      <c r="A30" t="s">
        <v>177</v>
      </c>
      <c r="B30" s="14" t="s">
        <v>1</v>
      </c>
      <c r="C30" t="s">
        <v>154</v>
      </c>
      <c r="D30">
        <v>1</v>
      </c>
      <c r="E30" s="12">
        <f t="shared" si="10"/>
        <v>2.53763831600385</v>
      </c>
      <c r="F30" s="12">
        <f t="shared" si="11"/>
        <v>2.5009132031868</v>
      </c>
      <c r="G30" s="12">
        <f t="shared" si="9"/>
        <v>-0.0367251128170492</v>
      </c>
      <c r="BV30" s="20">
        <v>0.5</v>
      </c>
      <c r="CA30" s="1">
        <v>1</v>
      </c>
      <c r="CD30" s="1">
        <v>1</v>
      </c>
      <c r="CF30" s="16"/>
    </row>
    <row r="31" spans="1:91">
      <c r="A31" t="s">
        <v>178</v>
      </c>
      <c r="B31" s="14" t="s">
        <v>8</v>
      </c>
      <c r="C31" t="s">
        <v>154</v>
      </c>
      <c r="D31">
        <v>0.6</v>
      </c>
      <c r="E31" s="12">
        <f t="shared" si="10"/>
        <v>1.52258298960231</v>
      </c>
      <c r="F31" s="12">
        <f t="shared" si="11"/>
        <v>1.48465937963669</v>
      </c>
      <c r="G31" s="12">
        <f t="shared" si="9"/>
        <v>-0.0379236099656164</v>
      </c>
      <c r="S31" s="20">
        <v>0.5</v>
      </c>
      <c r="AC31">
        <v>0.4</v>
      </c>
      <c r="AE31" s="16"/>
      <c r="CM31" s="16"/>
    </row>
    <row r="32" spans="1:91">
      <c r="A32" t="s">
        <v>179</v>
      </c>
      <c r="B32" s="11" t="s">
        <v>3</v>
      </c>
      <c r="C32" t="s">
        <v>154</v>
      </c>
      <c r="D32">
        <v>1</v>
      </c>
      <c r="E32" s="12">
        <f t="shared" si="10"/>
        <v>2.53763831600385</v>
      </c>
      <c r="F32" s="12">
        <f t="shared" si="11"/>
        <v>2.46378536358069</v>
      </c>
      <c r="G32" s="12">
        <f t="shared" si="9"/>
        <v>-0.0738529524231648</v>
      </c>
      <c r="H32" s="19">
        <v>0.6</v>
      </c>
      <c r="I32" s="1">
        <v>0.5</v>
      </c>
      <c r="R32">
        <v>0.2</v>
      </c>
      <c r="CF32" s="16"/>
      <c r="CM32" s="16"/>
    </row>
    <row r="33" spans="1:91">
      <c r="A33" t="s">
        <v>180</v>
      </c>
      <c r="B33" s="15" t="s">
        <v>9</v>
      </c>
      <c r="C33" t="s">
        <v>154</v>
      </c>
      <c r="D33">
        <v>1</v>
      </c>
      <c r="E33" s="12">
        <f t="shared" si="10"/>
        <v>2.53763831600385</v>
      </c>
      <c r="F33" s="12">
        <f t="shared" si="11"/>
        <v>2.45160132864693</v>
      </c>
      <c r="G33" s="12">
        <f t="shared" si="9"/>
        <v>-0.0860369873569251</v>
      </c>
      <c r="AZ33" s="20">
        <v>0.2</v>
      </c>
      <c r="BI33" s="1">
        <v>1</v>
      </c>
      <c r="BN33" s="1">
        <v>1</v>
      </c>
      <c r="CF33" s="16"/>
      <c r="CM33" s="16"/>
    </row>
    <row r="34" spans="1:91">
      <c r="A34" t="s">
        <v>181</v>
      </c>
      <c r="B34" s="11" t="s">
        <v>9</v>
      </c>
      <c r="C34" t="s">
        <v>154</v>
      </c>
      <c r="D34">
        <v>1</v>
      </c>
      <c r="E34" s="12">
        <f t="shared" si="10"/>
        <v>2.53763831600385</v>
      </c>
      <c r="F34" s="12">
        <f t="shared" si="11"/>
        <v>2.45142387137883</v>
      </c>
      <c r="G34" s="12">
        <f t="shared" si="9"/>
        <v>-0.0862144446250248</v>
      </c>
      <c r="S34" s="1">
        <v>0.5</v>
      </c>
      <c r="AC34">
        <v>0.6</v>
      </c>
      <c r="AV34">
        <v>0.5</v>
      </c>
      <c r="AW34" s="1">
        <v>0.5</v>
      </c>
      <c r="CM34" s="16"/>
    </row>
    <row r="35" spans="1:75">
      <c r="A35" t="s">
        <v>182</v>
      </c>
      <c r="B35" s="11" t="s">
        <v>8</v>
      </c>
      <c r="C35" t="s">
        <v>154</v>
      </c>
      <c r="D35">
        <v>0.8</v>
      </c>
      <c r="E35" s="12">
        <f t="shared" si="10"/>
        <v>2.03011065280308</v>
      </c>
      <c r="F35" s="12">
        <f t="shared" si="11"/>
        <v>1.93001580295643</v>
      </c>
      <c r="G35" s="12">
        <f t="shared" si="9"/>
        <v>-0.100094849846651</v>
      </c>
      <c r="BT35" s="19">
        <v>0.6</v>
      </c>
      <c r="BU35" s="19">
        <v>0.4</v>
      </c>
      <c r="BV35" s="20"/>
      <c r="BW35" s="19">
        <v>0.6</v>
      </c>
    </row>
    <row r="36" spans="1:84">
      <c r="A36" t="s">
        <v>183</v>
      </c>
      <c r="B36" s="18" t="s">
        <v>2</v>
      </c>
      <c r="C36" t="s">
        <v>154</v>
      </c>
      <c r="D36">
        <v>1</v>
      </c>
      <c r="E36" s="12">
        <f t="shared" si="10"/>
        <v>2.53763831600385</v>
      </c>
      <c r="F36" s="12">
        <f t="shared" si="11"/>
        <v>2.43479516818661</v>
      </c>
      <c r="G36" s="12">
        <f t="shared" si="9"/>
        <v>-0.102843147817239</v>
      </c>
      <c r="AL36" s="19"/>
      <c r="AP36" s="19">
        <v>0.6</v>
      </c>
      <c r="AQ36" s="19"/>
      <c r="BJ36" s="1">
        <v>1</v>
      </c>
      <c r="BQ36">
        <v>1</v>
      </c>
      <c r="CF36" s="16"/>
    </row>
    <row r="37" spans="1:84">
      <c r="A37" t="s">
        <v>184</v>
      </c>
      <c r="B37" s="11" t="s">
        <v>163</v>
      </c>
      <c r="C37" t="s">
        <v>154</v>
      </c>
      <c r="D37">
        <v>0.5</v>
      </c>
      <c r="E37" s="12">
        <f t="shared" si="10"/>
        <v>1.26881915800193</v>
      </c>
      <c r="F37" s="12">
        <f t="shared" si="11"/>
        <v>1.16413907699791</v>
      </c>
      <c r="G37" s="12">
        <f t="shared" si="9"/>
        <v>-0.10468008100402</v>
      </c>
      <c r="J37" s="1">
        <v>1</v>
      </c>
      <c r="CF37" s="16"/>
    </row>
    <row r="38" spans="1:91">
      <c r="A38" t="s">
        <v>185</v>
      </c>
      <c r="B38" s="11" t="s">
        <v>1</v>
      </c>
      <c r="C38" t="s">
        <v>154</v>
      </c>
      <c r="D38">
        <v>1</v>
      </c>
      <c r="E38" s="12">
        <f t="shared" si="10"/>
        <v>2.53763831600385</v>
      </c>
      <c r="F38" s="12">
        <f t="shared" si="11"/>
        <v>2.41907427761817</v>
      </c>
      <c r="G38" s="12">
        <f t="shared" si="9"/>
        <v>-0.118564038385677</v>
      </c>
      <c r="I38">
        <v>0.5</v>
      </c>
      <c r="Z38" s="1">
        <v>1</v>
      </c>
      <c r="AE38" s="16"/>
      <c r="BO38" s="1">
        <v>1</v>
      </c>
      <c r="CM38" s="16"/>
    </row>
    <row r="39" customFormat="1" spans="1:84">
      <c r="A39" t="s">
        <v>186</v>
      </c>
      <c r="B39" s="11" t="s">
        <v>2</v>
      </c>
      <c r="C39" t="s">
        <v>154</v>
      </c>
      <c r="D39">
        <v>1</v>
      </c>
      <c r="E39" s="12">
        <f t="shared" si="10"/>
        <v>2.53763831600385</v>
      </c>
      <c r="F39" s="12">
        <f t="shared" si="11"/>
        <v>2.41424193613815</v>
      </c>
      <c r="G39" s="12">
        <f t="shared" si="9"/>
        <v>-0.123396379865703</v>
      </c>
      <c r="U39" s="1">
        <v>1</v>
      </c>
      <c r="AE39" s="25"/>
      <c r="AP39" s="20">
        <v>0.4</v>
      </c>
      <c r="AQ39" s="19">
        <v>1</v>
      </c>
      <c r="CF39" s="16"/>
    </row>
    <row r="40" customFormat="1" spans="1:84">
      <c r="A40" t="s">
        <v>187</v>
      </c>
      <c r="B40" s="11" t="s">
        <v>1</v>
      </c>
      <c r="C40" t="s">
        <v>154</v>
      </c>
      <c r="D40">
        <v>1</v>
      </c>
      <c r="E40" s="12">
        <f t="shared" si="10"/>
        <v>2.53763831600385</v>
      </c>
      <c r="F40" s="12">
        <f t="shared" si="11"/>
        <v>2.2886554407459</v>
      </c>
      <c r="G40" s="12">
        <f t="shared" si="9"/>
        <v>-0.248982875257949</v>
      </c>
      <c r="O40" s="1">
        <v>0.5</v>
      </c>
      <c r="AB40" s="19">
        <v>1</v>
      </c>
      <c r="AE40" s="16"/>
      <c r="AM40" s="19"/>
      <c r="CF40" s="16"/>
    </row>
    <row r="41" customFormat="1" spans="1:91">
      <c r="A41" t="s">
        <v>188</v>
      </c>
      <c r="B41" s="11" t="s">
        <v>3</v>
      </c>
      <c r="C41" t="s">
        <v>154</v>
      </c>
      <c r="D41">
        <v>1</v>
      </c>
      <c r="E41" s="12">
        <f t="shared" si="10"/>
        <v>2.53763831600385</v>
      </c>
      <c r="F41" s="12">
        <f t="shared" si="11"/>
        <v>2.28844086835596</v>
      </c>
      <c r="G41" s="12">
        <f t="shared" si="9"/>
        <v>-0.24919744764789</v>
      </c>
      <c r="BB41" s="1">
        <v>1</v>
      </c>
      <c r="BC41" s="1">
        <v>1</v>
      </c>
      <c r="BM41" s="1">
        <v>1</v>
      </c>
      <c r="CM41" s="16"/>
    </row>
    <row r="42" customFormat="1" spans="1:64">
      <c r="A42" t="s">
        <v>189</v>
      </c>
      <c r="B42" s="15" t="s">
        <v>3</v>
      </c>
      <c r="C42" t="s">
        <v>154</v>
      </c>
      <c r="D42">
        <v>1</v>
      </c>
      <c r="E42" s="12">
        <f t="shared" si="10"/>
        <v>2.53763831600385</v>
      </c>
      <c r="F42" s="12">
        <f t="shared" si="11"/>
        <v>2.2598076908583</v>
      </c>
      <c r="G42" s="12">
        <f t="shared" si="9"/>
        <v>-0.277830625145556</v>
      </c>
      <c r="P42" s="24">
        <v>0.6</v>
      </c>
      <c r="AV42" s="1">
        <v>0.5</v>
      </c>
      <c r="AW42" s="28">
        <v>0.5</v>
      </c>
      <c r="BL42">
        <v>0.4</v>
      </c>
    </row>
    <row r="43" spans="1:60">
      <c r="A43" t="s">
        <v>190</v>
      </c>
      <c r="B43" s="14" t="s">
        <v>170</v>
      </c>
      <c r="C43" t="s">
        <v>154</v>
      </c>
      <c r="D43">
        <v>1</v>
      </c>
      <c r="E43" s="12">
        <f t="shared" si="10"/>
        <v>2.53763831600385</v>
      </c>
      <c r="F43" s="12">
        <f t="shared" si="11"/>
        <v>2.25137230273357</v>
      </c>
      <c r="G43" s="12">
        <f t="shared" si="9"/>
        <v>-0.286266013270282</v>
      </c>
      <c r="L43" s="1">
        <v>0.2</v>
      </c>
      <c r="AD43" s="1">
        <v>1</v>
      </c>
      <c r="BH43">
        <v>0.7</v>
      </c>
    </row>
    <row r="44" spans="1:64">
      <c r="A44" t="s">
        <v>191</v>
      </c>
      <c r="B44" s="11" t="s">
        <v>15</v>
      </c>
      <c r="C44" t="s">
        <v>154</v>
      </c>
      <c r="D44">
        <v>1</v>
      </c>
      <c r="E44" s="12">
        <f t="shared" si="10"/>
        <v>2.53763831600385</v>
      </c>
      <c r="F44" s="12">
        <f t="shared" si="11"/>
        <v>2.24532559313479</v>
      </c>
      <c r="G44" s="12">
        <f t="shared" si="9"/>
        <v>-0.292312722869065</v>
      </c>
      <c r="V44" s="19">
        <v>1</v>
      </c>
      <c r="BH44">
        <v>0.3</v>
      </c>
      <c r="BL44" s="1">
        <v>0.6</v>
      </c>
    </row>
    <row r="45" spans="1:84">
      <c r="A45" t="s">
        <v>192</v>
      </c>
      <c r="B45" s="11" t="s">
        <v>2</v>
      </c>
      <c r="C45" t="s">
        <v>154</v>
      </c>
      <c r="D45" s="16">
        <v>1</v>
      </c>
      <c r="E45" s="17">
        <f t="shared" si="10"/>
        <v>2.53763831600385</v>
      </c>
      <c r="F45" s="17">
        <f t="shared" si="11"/>
        <v>2.23305321036939</v>
      </c>
      <c r="G45" s="17">
        <f t="shared" si="9"/>
        <v>-0.304585105634465</v>
      </c>
      <c r="N45" s="1">
        <v>1</v>
      </c>
      <c r="AJ45" s="20">
        <v>0.5</v>
      </c>
      <c r="AK45" s="20"/>
      <c r="BR45">
        <v>1</v>
      </c>
      <c r="CF45" s="16"/>
    </row>
    <row r="46" customFormat="1" spans="1:84">
      <c r="A46" t="s">
        <v>193</v>
      </c>
      <c r="B46" s="15" t="s">
        <v>14</v>
      </c>
      <c r="C46" t="s">
        <v>154</v>
      </c>
      <c r="D46" s="16">
        <v>1</v>
      </c>
      <c r="E46" s="17">
        <f t="shared" si="10"/>
        <v>2.53763831600385</v>
      </c>
      <c r="F46" s="17">
        <f t="shared" si="11"/>
        <v>2.21652019166256</v>
      </c>
      <c r="G46" s="17">
        <f t="shared" si="9"/>
        <v>-0.321118124341296</v>
      </c>
      <c r="H46" s="20">
        <v>0.4</v>
      </c>
      <c r="M46" s="16"/>
      <c r="O46" s="16">
        <v>0.5</v>
      </c>
      <c r="T46" s="16"/>
      <c r="AH46" s="16"/>
      <c r="AI46" s="16"/>
      <c r="AL46" s="16"/>
      <c r="AM46" s="16"/>
      <c r="BF46" s="16"/>
      <c r="BG46" s="16"/>
      <c r="BK46" s="16"/>
      <c r="BP46" s="16"/>
      <c r="BT46" s="16"/>
      <c r="BU46" s="16"/>
      <c r="BV46" s="16"/>
      <c r="BW46" s="16"/>
      <c r="BX46" s="16"/>
      <c r="BY46" s="31">
        <v>0.6</v>
      </c>
      <c r="BZ46" s="16"/>
      <c r="CA46" s="16"/>
      <c r="CB46" s="16"/>
      <c r="CC46" s="16"/>
      <c r="CD46" s="16"/>
      <c r="CE46" s="16"/>
      <c r="CF46" s="16"/>
    </row>
    <row r="47" customFormat="1" spans="1:84">
      <c r="A47" t="s">
        <v>194</v>
      </c>
      <c r="B47" s="11" t="s">
        <v>3</v>
      </c>
      <c r="C47" t="s">
        <v>154</v>
      </c>
      <c r="D47">
        <v>1</v>
      </c>
      <c r="E47" s="12">
        <f t="shared" si="10"/>
        <v>2.53763831600385</v>
      </c>
      <c r="F47" s="12">
        <f t="shared" si="11"/>
        <v>1.17428396258735</v>
      </c>
      <c r="G47" s="12">
        <f t="shared" si="9"/>
        <v>-1.3633543534165</v>
      </c>
      <c r="BU47" s="20">
        <v>0.2</v>
      </c>
      <c r="CB47" s="1">
        <v>1</v>
      </c>
      <c r="CF47" s="31"/>
    </row>
    <row r="48" customFormat="1" spans="1:84">
      <c r="A48" t="s">
        <v>195</v>
      </c>
      <c r="B48" s="11" t="s">
        <v>1</v>
      </c>
      <c r="C48" t="s">
        <v>154</v>
      </c>
      <c r="D48">
        <v>1</v>
      </c>
      <c r="E48" s="12">
        <f t="shared" si="10"/>
        <v>2.53763831600385</v>
      </c>
      <c r="F48" s="12">
        <f t="shared" si="11"/>
        <v>2.26406978603562</v>
      </c>
      <c r="G48" s="12">
        <f t="shared" si="9"/>
        <v>-0.273568529968232</v>
      </c>
      <c r="M48" s="19">
        <v>0.4</v>
      </c>
      <c r="T48" s="19">
        <v>0.5</v>
      </c>
      <c r="BF48" s="19">
        <v>0.7</v>
      </c>
      <c r="BG48" s="19">
        <v>0.6</v>
      </c>
      <c r="CF48" s="16"/>
    </row>
    <row r="49" customFormat="1" spans="1:7">
      <c r="A49" s="21"/>
      <c r="E49" s="12"/>
      <c r="F49" s="12"/>
      <c r="G49" s="12"/>
    </row>
    <row r="50" spans="1:4">
      <c r="A50" s="1" t="str">
        <f>TEXT(COUNTA(A9:A49),"0")&amp;" bodies"</f>
        <v>40 bodies</v>
      </c>
      <c r="B50" s="1"/>
      <c r="C50" s="1" t="s">
        <v>196</v>
      </c>
      <c r="D50" s="1">
        <f>SUM(D9:D49)</f>
        <v>34</v>
      </c>
    </row>
    <row r="53" spans="2:2">
      <c r="B53" t="s">
        <v>197</v>
      </c>
    </row>
    <row r="54" spans="2:2">
      <c r="B54" t="s">
        <v>198</v>
      </c>
    </row>
  </sheetData>
  <sortState ref="A9:CO48">
    <sortCondition ref="G9:G48" descending="1"/>
  </sortState>
  <conditionalFormatting sqref="U8:V8">
    <cfRule type="expression" dxfId="0" priority="37">
      <formula>U8&lt;0</formula>
    </cfRule>
    <cfRule type="expression" dxfId="1" priority="38">
      <formula>U8&gt;0</formula>
    </cfRule>
  </conditionalFormatting>
  <conditionalFormatting sqref="W8:X8">
    <cfRule type="expression" dxfId="0" priority="35">
      <formula>W8&lt;0</formula>
    </cfRule>
    <cfRule type="expression" dxfId="1" priority="36">
      <formula>W8&gt;0</formula>
    </cfRule>
  </conditionalFormatting>
  <conditionalFormatting sqref="Z8:AA8">
    <cfRule type="expression" dxfId="0" priority="31">
      <formula>Z8&lt;0</formula>
    </cfRule>
    <cfRule type="expression" dxfId="1" priority="32">
      <formula>Z8&gt;0</formula>
    </cfRule>
  </conditionalFormatting>
  <conditionalFormatting sqref="AD8">
    <cfRule type="expression" dxfId="0" priority="27">
      <formula>AD8&lt;0</formula>
    </cfRule>
    <cfRule type="expression" dxfId="1" priority="28">
      <formula>AD8&gt;0</formula>
    </cfRule>
  </conditionalFormatting>
  <conditionalFormatting sqref="AE8">
    <cfRule type="expression" dxfId="0" priority="29">
      <formula>AE8&lt;0</formula>
    </cfRule>
    <cfRule type="expression" dxfId="1" priority="30">
      <formula>AE8&gt;0</formula>
    </cfRule>
  </conditionalFormatting>
  <conditionalFormatting sqref="AG8">
    <cfRule type="expression" dxfId="0" priority="12">
      <formula>AG8&lt;0</formula>
    </cfRule>
    <cfRule type="expression" dxfId="1" priority="13">
      <formula>AG8&gt;0</formula>
    </cfRule>
  </conditionalFormatting>
  <conditionalFormatting sqref="BE8">
    <cfRule type="expression" dxfId="0" priority="24">
      <formula>BE8&lt;0</formula>
    </cfRule>
    <cfRule type="expression" dxfId="1" priority="25">
      <formula>BE8&gt;0</formula>
    </cfRule>
  </conditionalFormatting>
  <conditionalFormatting sqref="BF8">
    <cfRule type="expression" dxfId="0" priority="22">
      <formula>BF8&lt;0</formula>
    </cfRule>
    <cfRule type="expression" dxfId="1" priority="23">
      <formula>BF8&gt;0</formula>
    </cfRule>
  </conditionalFormatting>
  <conditionalFormatting sqref="BX8:BY8">
    <cfRule type="expression" dxfId="0" priority="47">
      <formula>BX8&lt;0</formula>
    </cfRule>
    <cfRule type="expression" dxfId="1" priority="48">
      <formula>BX8&gt;0</formula>
    </cfRule>
  </conditionalFormatting>
  <conditionalFormatting sqref="BZ8">
    <cfRule type="expression" dxfId="0" priority="14">
      <formula>BZ8&lt;0</formula>
    </cfRule>
    <cfRule type="expression" dxfId="1" priority="15">
      <formula>BZ8&gt;0</formula>
    </cfRule>
  </conditionalFormatting>
  <conditionalFormatting sqref="G19">
    <cfRule type="colorScale" priority="17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21">
    <cfRule type="colorScale" priority="10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0">
    <cfRule type="colorScale" priority="4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1">
    <cfRule type="colorScale" priority="3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2">
    <cfRule type="colorScale" priority="11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3">
    <cfRule type="colorScale" priority="5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4">
    <cfRule type="colorScale" priority="8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5">
    <cfRule type="colorScale" priority="9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6">
    <cfRule type="colorScale" priority="1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7">
    <cfRule type="colorScale" priority="7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G48">
    <cfRule type="colorScale" priority="2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conditionalFormatting sqref="AB8:AC8 AF8 BG8:BW8 CA8:CD8 Y8 AH8:BD8 CM8:CN8 H8:T8">
    <cfRule type="expression" dxfId="0" priority="56">
      <formula>H8&lt;0</formula>
    </cfRule>
    <cfRule type="expression" dxfId="1" priority="57">
      <formula>H8&gt;0</formula>
    </cfRule>
  </conditionalFormatting>
  <conditionalFormatting sqref="CO8 CD8:CF8">
    <cfRule type="expression" dxfId="0" priority="39">
      <formula>CD8&lt;0</formula>
    </cfRule>
    <cfRule type="expression" dxfId="1" priority="40">
      <formula>CD8&gt;0</formula>
    </cfRule>
  </conditionalFormatting>
  <conditionalFormatting sqref="G9:G18 G49 G20 G22:G39">
    <cfRule type="colorScale" priority="60">
      <colorScale>
        <cfvo type="num" val="-1.5"/>
        <cfvo type="num" val="0"/>
        <cfvo type="num" val="1.5"/>
        <color rgb="FFFF0000"/>
        <color theme="0"/>
        <color rgb="FF00B050"/>
      </colorScale>
    </cfRule>
  </conditionalFormatting>
  <pageMargins left="0.25" right="0.25" top="0.75" bottom="0.75" header="0.3" footer="0.3"/>
  <pageSetup paperSize="8" scale="45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3" sqref="A3:A8"/>
    </sheetView>
  </sheetViews>
  <sheetFormatPr defaultColWidth="9" defaultRowHeight="14.4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4.4"/>
  <sheetData/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26B64111-6351-4AC4-ABBC-45415AA1E95B}">
  <ds:schemaRefs/>
</ds:datastoreItem>
</file>

<file path=customXml/itemProps2.xml><?xml version="1.0" encoding="utf-8"?>
<ds:datastoreItem xmlns:ds="http://schemas.openxmlformats.org/officeDocument/2006/customXml" ds:itemID="{1E6D528A-3708-4901-8018-58179A887951}">
  <ds:schemaRefs/>
</ds:datastoreItem>
</file>

<file path=customXml/itemProps3.xml><?xml version="1.0" encoding="utf-8"?>
<ds:datastoreItem xmlns:ds="http://schemas.openxmlformats.org/officeDocument/2006/customXml" ds:itemID="{9CFE4B6A-BC1A-4A92-8A10-09C32955B01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QUT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Allocation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Wyeth</dc:creator>
  <cp:lastModifiedBy>Joel Mehonoshen</cp:lastModifiedBy>
  <dcterms:created xsi:type="dcterms:W3CDTF">2012-01-11T02:44:00Z</dcterms:created>
  <cp:lastPrinted>2020-05-06T00:37:00Z</cp:lastPrinted>
  <dcterms:modified xsi:type="dcterms:W3CDTF">2022-05-25T15:31:23Z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  <property fmtid="{D5CDD505-2E9C-101B-9397-08002B2CF9AE}" pid="3" name="ICV">
    <vt:lpwstr>769D7AE176C844A8A03AEEDC3375296A</vt:lpwstr>
  </property>
  <property fmtid="{D5CDD505-2E9C-101B-9397-08002B2CF9AE}" pid="4" name="KSOProductBuildVer">
    <vt:lpwstr>1033-11.2.0.10308</vt:lpwstr>
  </property>
</Properties>
</file>