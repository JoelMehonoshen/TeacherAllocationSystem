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Allocation" sheetId="1" r:id="rId4"/>
    <sheet state="visible" name="Sheet1" sheetId="2" r:id="rId5"/>
    <sheet state="visible" name="Sheet2" sheetId="3" r:id="rId6"/>
  </sheets>
  <definedNames/>
  <calcPr/>
  <extLst>
    <ext uri="GoogleSheetsCustomDataVersion1">
      <go:sheetsCustomData xmlns:go="http://customooxmlschemas.google.com/" r:id="rId7" roundtripDataSignature="AMtx7mgUahaq1mRMLfMLuZoT7zRSSCnLCg=="/>
    </ext>
  </extLst>
</workbook>
</file>

<file path=xl/sharedStrings.xml><?xml version="1.0" encoding="utf-8"?>
<sst xmlns="http://schemas.openxmlformats.org/spreadsheetml/2006/main" count="288" uniqueCount="187">
  <si>
    <t>Code</t>
  </si>
  <si>
    <t>CAB201</t>
  </si>
  <si>
    <t>CAB202</t>
  </si>
  <si>
    <t>CAB203</t>
  </si>
  <si>
    <t>CAB210</t>
  </si>
  <si>
    <t>CAB220</t>
  </si>
  <si>
    <t>CAB230</t>
  </si>
  <si>
    <t>CAB240</t>
  </si>
  <si>
    <t>CAB301</t>
  </si>
  <si>
    <t>CAB302</t>
  </si>
  <si>
    <t>CAB303</t>
  </si>
  <si>
    <t>CAB310</t>
  </si>
  <si>
    <t>CAB330</t>
  </si>
  <si>
    <t>CAB340</t>
  </si>
  <si>
    <t>CAB401</t>
  </si>
  <si>
    <t>CAB402</t>
  </si>
  <si>
    <t>CAB403</t>
  </si>
  <si>
    <t xml:space="preserve">CAB430 </t>
  </si>
  <si>
    <t>CAB431</t>
  </si>
  <si>
    <t>CAB432</t>
  </si>
  <si>
    <t>CAB440</t>
  </si>
  <si>
    <t>CAB441</t>
  </si>
  <si>
    <t>ENN523</t>
  </si>
  <si>
    <t>ENN524</t>
  </si>
  <si>
    <t>ENN541</t>
  </si>
  <si>
    <t>IFB102</t>
  </si>
  <si>
    <t>IFB104</t>
  </si>
  <si>
    <t>IFB398</t>
  </si>
  <si>
    <t>IFN507</t>
  </si>
  <si>
    <t>IFN507/IFQ507</t>
  </si>
  <si>
    <t>IFN509</t>
  </si>
  <si>
    <r>
      <rPr>
        <rFont val="Calibri"/>
        <color theme="1"/>
        <sz val="11.0"/>
      </rPr>
      <t xml:space="preserve">IFN509 / </t>
    </r>
    <r>
      <rPr>
        <rFont val="Calibri"/>
        <color rgb="FFC00000"/>
        <sz val="11.0"/>
      </rPr>
      <t>IFQ509</t>
    </r>
  </si>
  <si>
    <t>IFN541</t>
  </si>
  <si>
    <t>IFN541 / IFQ541</t>
  </si>
  <si>
    <t>IFN551/IFQ551</t>
  </si>
  <si>
    <t>IFN553/IFQ553</t>
  </si>
  <si>
    <t>IFN555/IFQ555</t>
  </si>
  <si>
    <t>IFN556/IFQ556</t>
  </si>
  <si>
    <t>IFN563</t>
  </si>
  <si>
    <r>
      <rPr>
        <rFont val="Calibri"/>
        <color theme="1"/>
        <sz val="11.0"/>
      </rPr>
      <t xml:space="preserve">IFN563 / </t>
    </r>
    <r>
      <rPr>
        <rFont val="Calibri"/>
        <color rgb="FFC00000"/>
        <sz val="11.0"/>
      </rPr>
      <t>IFQ563</t>
    </r>
  </si>
  <si>
    <t>IFN564</t>
  </si>
  <si>
    <r>
      <rPr>
        <rFont val="Calibri"/>
        <color theme="1"/>
        <sz val="11.0"/>
      </rPr>
      <t xml:space="preserve">IFN564 / </t>
    </r>
    <r>
      <rPr>
        <rFont val="Calibri"/>
        <color rgb="FFC00000"/>
        <sz val="11.0"/>
      </rPr>
      <t>IFQ564</t>
    </r>
  </si>
  <si>
    <t>IFN591</t>
  </si>
  <si>
    <r>
      <rPr>
        <rFont val="Calibri"/>
        <color theme="1"/>
        <sz val="11.0"/>
      </rPr>
      <t xml:space="preserve">IFN591 / </t>
    </r>
    <r>
      <rPr>
        <rFont val="Calibri"/>
        <color rgb="FFC00000"/>
        <sz val="11.0"/>
      </rPr>
      <t>IFQ591</t>
    </r>
  </si>
  <si>
    <t>IFN644</t>
  </si>
  <si>
    <t>IFN645</t>
  </si>
  <si>
    <t>IFN646</t>
  </si>
  <si>
    <t>IFN647</t>
  </si>
  <si>
    <t>IFN648</t>
  </si>
  <si>
    <t>IFN657</t>
  </si>
  <si>
    <t>IFN666</t>
  </si>
  <si>
    <t>IFN680</t>
  </si>
  <si>
    <t>IFN692</t>
  </si>
  <si>
    <t>IFN712</t>
  </si>
  <si>
    <t>IGB100</t>
  </si>
  <si>
    <t>IGB180</t>
  </si>
  <si>
    <t>IGB181</t>
  </si>
  <si>
    <t>IGB200</t>
  </si>
  <si>
    <t>IGB220</t>
  </si>
  <si>
    <t>IGB283</t>
  </si>
  <si>
    <t>IGB300</t>
  </si>
  <si>
    <t>IGB301</t>
  </si>
  <si>
    <t>IGB320</t>
  </si>
  <si>
    <t>IGB321</t>
  </si>
  <si>
    <t>IGB381</t>
  </si>
  <si>
    <t>IGB383</t>
  </si>
  <si>
    <t>IGB400</t>
  </si>
  <si>
    <t>Standard Load:</t>
  </si>
  <si>
    <t>Name</t>
  </si>
  <si>
    <t>Programming Principles</t>
  </si>
  <si>
    <t>Micro Proc and Dig Sys</t>
  </si>
  <si>
    <t>Discrete Structures</t>
  </si>
  <si>
    <t>People Context &amp; Tech</t>
  </si>
  <si>
    <t>Fund of Data Science</t>
  </si>
  <si>
    <t>Web Computing</t>
  </si>
  <si>
    <t>Information Security</t>
  </si>
  <si>
    <t>Algorithms &amp; Complexity</t>
  </si>
  <si>
    <t>Software Development</t>
  </si>
  <si>
    <t>Networks</t>
  </si>
  <si>
    <t>Interaction &amp; Experience Design</t>
  </si>
  <si>
    <t>Data and Web Analytics</t>
  </si>
  <si>
    <t>Cryptography</t>
  </si>
  <si>
    <t>High Performance and Parallel Computing</t>
  </si>
  <si>
    <t>Programming Paradigms</t>
  </si>
  <si>
    <t>Systems Programming</t>
  </si>
  <si>
    <t>Data and Information Integration</t>
  </si>
  <si>
    <t>Search Engine Technology</t>
  </si>
  <si>
    <t>Cloud Computing</t>
  </si>
  <si>
    <t>Network and Security Administration</t>
  </si>
  <si>
    <t>Network Security</t>
  </si>
  <si>
    <t>Advanced Network Engineering</t>
  </si>
  <si>
    <t>Mobile Network Engineering</t>
  </si>
  <si>
    <t>Research Methods for Engineers</t>
  </si>
  <si>
    <t>Comp Tech Fundamentals</t>
  </si>
  <si>
    <t>Building IT Systems</t>
  </si>
  <si>
    <t>Capstone (Phase 1)</t>
  </si>
  <si>
    <t>Network Systems</t>
  </si>
  <si>
    <t>Data Exploration and Mining</t>
  </si>
  <si>
    <t>Information Security Management</t>
  </si>
  <si>
    <t>Computer Systems Fundamentals</t>
  </si>
  <si>
    <t>Intro Cyber Security &amp; Networks</t>
  </si>
  <si>
    <t>Introduction to Programming</t>
  </si>
  <si>
    <t>Object Oriented Programming</t>
  </si>
  <si>
    <t>Object Oriented Design</t>
  </si>
  <si>
    <t>Data Structures and Algorithms</t>
  </si>
  <si>
    <t>Principles of UX</t>
  </si>
  <si>
    <t>Network Operations and Security</t>
  </si>
  <si>
    <t>Large Scale Data Mining</t>
  </si>
  <si>
    <t>Biomedical Data Science</t>
  </si>
  <si>
    <t>Text, Web and Media Analytics</t>
  </si>
  <si>
    <t>Applied Crytography</t>
  </si>
  <si>
    <t>Principles of Software Security</t>
  </si>
  <si>
    <t>Web &amp; Mobile App Development</t>
  </si>
  <si>
    <t>Advanced Topics in AI</t>
  </si>
  <si>
    <t>Interaction Design for Emerging Tech</t>
  </si>
  <si>
    <t>Research in IT Practice</t>
  </si>
  <si>
    <t>Game Studio 1</t>
  </si>
  <si>
    <t>Computer Games Studies</t>
  </si>
  <si>
    <t>Game Production and Technology</t>
  </si>
  <si>
    <t>Game Studio 2</t>
  </si>
  <si>
    <t>Fundamentals of game Design</t>
  </si>
  <si>
    <t>Game Engine Theory and Application</t>
  </si>
  <si>
    <t>Capstone (Game Design)</t>
  </si>
  <si>
    <t>Capstone (Game Development)</t>
  </si>
  <si>
    <t>Game Design in Different Contexts</t>
  </si>
  <si>
    <t>Immersive Game Level Design</t>
  </si>
  <si>
    <t>Game Engine Technology</t>
  </si>
  <si>
    <t>AI for Games</t>
  </si>
  <si>
    <t>Game Studio 3</t>
  </si>
  <si>
    <t>Sem</t>
  </si>
  <si>
    <t>Students</t>
  </si>
  <si>
    <t>Share</t>
  </si>
  <si>
    <t>Minimum Load:</t>
  </si>
  <si>
    <t>Assigned Load</t>
  </si>
  <si>
    <t>Total:</t>
  </si>
  <si>
    <t>Allocated Load</t>
  </si>
  <si>
    <t>Academic</t>
  </si>
  <si>
    <t>Academic Preferences</t>
  </si>
  <si>
    <t>School</t>
  </si>
  <si>
    <t>Load</t>
  </si>
  <si>
    <t>Unit Load</t>
  </si>
  <si>
    <t>Actual Load</t>
  </si>
  <si>
    <t>Load Error</t>
  </si>
  <si>
    <t xml:space="preserve">Dr First Academic </t>
  </si>
  <si>
    <t>CS</t>
  </si>
  <si>
    <t xml:space="preserve">Dr Second Academic </t>
  </si>
  <si>
    <t xml:space="preserve">Dr Third Academic </t>
  </si>
  <si>
    <t xml:space="preserve">Dr Fourth Academic </t>
  </si>
  <si>
    <t xml:space="preserve">Dr Fifth Academic </t>
  </si>
  <si>
    <t xml:space="preserve">Dr Sixth Academic </t>
  </si>
  <si>
    <t xml:space="preserve">Dr Seventh Academic </t>
  </si>
  <si>
    <t xml:space="preserve">Dr Eighth Academic </t>
  </si>
  <si>
    <t xml:space="preserve">Dr Nineth Academic </t>
  </si>
  <si>
    <t>CAB101</t>
  </si>
  <si>
    <t xml:space="preserve">Dr Tenth Academic </t>
  </si>
  <si>
    <t xml:space="preserve">D First Academic </t>
  </si>
  <si>
    <t xml:space="preserve">D Second Academic </t>
  </si>
  <si>
    <t xml:space="preserve">D Third Academic </t>
  </si>
  <si>
    <t xml:space="preserve">D Fourth Academic </t>
  </si>
  <si>
    <t xml:space="preserve">D Fifth Academic </t>
  </si>
  <si>
    <t>CAB102</t>
  </si>
  <si>
    <t xml:space="preserve">D Sixth Academic </t>
  </si>
  <si>
    <t xml:space="preserve">D Seventh Academic </t>
  </si>
  <si>
    <t xml:space="preserve">D Eighth Academic </t>
  </si>
  <si>
    <t xml:space="preserve">D Nineth Academic </t>
  </si>
  <si>
    <t xml:space="preserve">D Tenth Academic </t>
  </si>
  <si>
    <t xml:space="preserve">r First Academic </t>
  </si>
  <si>
    <t xml:space="preserve">r Second Academic </t>
  </si>
  <si>
    <t xml:space="preserve">r Third Academic </t>
  </si>
  <si>
    <t xml:space="preserve">r Fourth Academic </t>
  </si>
  <si>
    <t xml:space="preserve">r Fifth Academic </t>
  </si>
  <si>
    <t xml:space="preserve">r Sixth Academic </t>
  </si>
  <si>
    <t xml:space="preserve">r Seventh Academic </t>
  </si>
  <si>
    <t xml:space="preserve">r Eighth Academic </t>
  </si>
  <si>
    <t xml:space="preserve">r Nineth Academic </t>
  </si>
  <si>
    <t xml:space="preserve">r Tenth Academic </t>
  </si>
  <si>
    <t xml:space="preserve">Drs First Academic </t>
  </si>
  <si>
    <t xml:space="preserve">Drs Second Academic </t>
  </si>
  <si>
    <t xml:space="preserve">Drs Third Academic </t>
  </si>
  <si>
    <t xml:space="preserve">Drs Fourth Academic </t>
  </si>
  <si>
    <t xml:space="preserve">Drs Fifth Academic </t>
  </si>
  <si>
    <t xml:space="preserve">Drs Sixth Academic </t>
  </si>
  <si>
    <t xml:space="preserve">Drs Seventh Academic </t>
  </si>
  <si>
    <t xml:space="preserve">Drs Eighth Academic </t>
  </si>
  <si>
    <t xml:space="preserve">Drs Nineth Academic </t>
  </si>
  <si>
    <t xml:space="preserve">Drs Tenth Academic </t>
  </si>
  <si>
    <t>Total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</si>
</sst>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"/>
  </numFmts>
  <fonts count="8">
    <font>
      <sz val="11.0"/>
      <color theme="1"/>
      <name val="Calibri"/>
      <scheme val="minor"/>
    </font>
    <font>
      <b/>
      <sz val="11.0"/>
      <color theme="1"/>
      <name val="Calibri"/>
    </font>
    <font>
      <sz val="11.0"/>
      <color theme="1"/>
      <name val="Calibri"/>
    </font>
    <font>
      <color theme="1"/>
      <name val="Calibri"/>
      <scheme val="minor"/>
    </font>
    <font>
      <sz val="11.0"/>
      <color rgb="FFC00000"/>
      <name val="Calibri"/>
    </font>
    <font>
      <b/>
      <sz val="11.0"/>
      <color rgb="FFC00000"/>
      <name val="Calibri"/>
    </font>
    <font>
      <b/>
      <sz val="11.0"/>
      <color rgb="FFFA7D00"/>
      <name val="Calibri"/>
    </font>
    <font>
      <sz val="11.0"/>
      <color rgb="FFFF000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F2F2F2"/>
        <bgColor rgb="FFF2F2F2"/>
      </patternFill>
    </fill>
  </fills>
  <borders count="4">
    <border/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</border>
    <border>
      <left/>
      <right/>
      <top/>
      <bottom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</borders>
  <cellStyleXfs count="1">
    <xf borderId="0" fillId="0" fontId="0" numFmtId="0" applyAlignment="1" applyFont="1"/>
  </cellStyleXfs>
  <cellXfs count="2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Alignment="1" applyFont="1">
      <alignment horizontal="center" textRotation="180" vertical="center"/>
    </xf>
    <xf borderId="0" fillId="0" fontId="1" numFmtId="0" xfId="0" applyAlignment="1" applyFont="1">
      <alignment horizontal="right"/>
    </xf>
    <xf borderId="0" fillId="0" fontId="3" numFmtId="0" xfId="0" applyFont="1"/>
    <xf borderId="0" fillId="0" fontId="2" numFmtId="0" xfId="0" applyAlignment="1" applyFont="1">
      <alignment horizontal="center" shrinkToFit="0" textRotation="180" vertical="center" wrapText="1"/>
    </xf>
    <xf borderId="0" fillId="0" fontId="2" numFmtId="0" xfId="0" applyAlignment="1" applyFont="1">
      <alignment horizontal="right"/>
    </xf>
    <xf borderId="0" fillId="0" fontId="2" numFmtId="0" xfId="0" applyAlignment="1" applyFont="1">
      <alignment horizontal="center" vertical="center"/>
    </xf>
    <xf borderId="0" fillId="0" fontId="2" numFmtId="1" xfId="0" applyAlignment="1" applyFont="1" applyNumberFormat="1">
      <alignment horizontal="center" vertical="center"/>
    </xf>
    <xf borderId="0" fillId="0" fontId="2" numFmtId="164" xfId="0" applyAlignment="1" applyFont="1" applyNumberFormat="1">
      <alignment horizontal="center" vertical="center"/>
    </xf>
    <xf borderId="0" fillId="0" fontId="4" numFmtId="164" xfId="0" applyAlignment="1" applyFont="1" applyNumberFormat="1">
      <alignment horizontal="center" vertical="center"/>
    </xf>
    <xf borderId="0" fillId="0" fontId="2" numFmtId="2" xfId="0" applyAlignment="1" applyFont="1" applyNumberFormat="1">
      <alignment horizontal="center"/>
    </xf>
    <xf borderId="0" fillId="0" fontId="2" numFmtId="2" xfId="0" applyFont="1" applyNumberFormat="1"/>
    <xf borderId="0" fillId="0" fontId="2" numFmtId="0" xfId="0" applyAlignment="1" applyFont="1">
      <alignment shrinkToFit="0" wrapText="1"/>
    </xf>
    <xf borderId="0" fillId="0" fontId="2" numFmtId="0" xfId="0" applyFont="1"/>
    <xf borderId="0" fillId="0" fontId="2" numFmtId="164" xfId="0" applyFont="1" applyNumberFormat="1"/>
    <xf borderId="1" fillId="0" fontId="5" numFmtId="0" xfId="0" applyBorder="1" applyFont="1"/>
    <xf borderId="0" fillId="0" fontId="5" numFmtId="0" xfId="0" applyFont="1"/>
    <xf borderId="0" fillId="0" fontId="4" numFmtId="0" xfId="0" applyFont="1"/>
    <xf borderId="2" fillId="2" fontId="6" numFmtId="0" xfId="0" applyBorder="1" applyFill="1" applyFont="1"/>
    <xf borderId="3" fillId="0" fontId="2" numFmtId="0" xfId="0" applyBorder="1" applyFont="1"/>
    <xf borderId="1" fillId="0" fontId="2" numFmtId="0" xfId="0" applyBorder="1" applyFont="1"/>
    <xf borderId="0" fillId="0" fontId="7" numFmtId="0" xfId="0" applyFont="1"/>
  </cellXfs>
  <cellStyles count="1">
    <cellStyle xfId="0" name="Normal" builtinId="0"/>
  </cellStyles>
  <dxfs count="2">
    <dxf>
      <font/>
      <fill>
        <patternFill patternType="solid">
          <fgColor theme="5"/>
          <bgColor theme="5"/>
        </patternFill>
      </fill>
      <border/>
    </dxf>
    <dxf>
      <font/>
      <fill>
        <patternFill patternType="solid">
          <fgColor theme="6"/>
          <bgColor theme="6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7.0" ySplit="8.0" topLeftCell="H9" activePane="bottomRight" state="frozen"/>
      <selection activeCell="H1" sqref="H1" pane="topRight"/>
      <selection activeCell="A9" sqref="A9" pane="bottomLeft"/>
      <selection activeCell="H9" sqref="H9" pane="bottomRight"/>
    </sheetView>
  </sheetViews>
  <sheetFormatPr customHeight="1" defaultColWidth="14.43" defaultRowHeight="15.0"/>
  <cols>
    <col customWidth="1" min="1" max="1" width="27.43"/>
    <col customWidth="1" min="2" max="2" width="7.29"/>
    <col customWidth="1" min="3" max="3" width="6.57"/>
    <col customWidth="1" min="4" max="4" width="6.43"/>
    <col customWidth="1" min="5" max="5" width="5.86"/>
    <col customWidth="1" min="6" max="6" width="7.43"/>
    <col customWidth="1" min="7" max="7" width="6.43"/>
    <col customWidth="1" min="8" max="32" width="5.57"/>
    <col customWidth="1" min="33" max="33" width="6.43"/>
    <col customWidth="1" min="34" max="62" width="5.57"/>
    <col customWidth="1" min="63" max="63" width="5.86"/>
    <col customWidth="1" min="64" max="82" width="5.57"/>
    <col customWidth="1" min="83" max="88" width="9.0"/>
    <col customWidth="1" min="89" max="91" width="5.57"/>
  </cols>
  <sheetData>
    <row r="1" ht="37.5" customHeight="1">
      <c r="G1" s="1" t="s">
        <v>0</v>
      </c>
      <c r="H1" s="2" t="s">
        <v>1</v>
      </c>
      <c r="I1" s="2" t="s">
        <v>1</v>
      </c>
      <c r="J1" s="2" t="s">
        <v>2</v>
      </c>
      <c r="K1" s="2" t="s">
        <v>2</v>
      </c>
      <c r="L1" s="2" t="s">
        <v>3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</v>
      </c>
      <c r="R1" s="2" t="s">
        <v>9</v>
      </c>
      <c r="S1" s="2" t="s">
        <v>10</v>
      </c>
      <c r="T1" s="2" t="s">
        <v>11</v>
      </c>
      <c r="U1" s="2" t="s">
        <v>12</v>
      </c>
      <c r="V1" s="2" t="s">
        <v>13</v>
      </c>
      <c r="W1" s="2" t="s">
        <v>14</v>
      </c>
      <c r="X1" s="2" t="s">
        <v>15</v>
      </c>
      <c r="Y1" s="2" t="s">
        <v>16</v>
      </c>
      <c r="Z1" s="2" t="s">
        <v>17</v>
      </c>
      <c r="AA1" s="2" t="s">
        <v>18</v>
      </c>
      <c r="AB1" s="2" t="s">
        <v>19</v>
      </c>
      <c r="AC1" s="2" t="s">
        <v>20</v>
      </c>
      <c r="AD1" s="2" t="s">
        <v>21</v>
      </c>
      <c r="AE1" s="2" t="s">
        <v>22</v>
      </c>
      <c r="AF1" s="2" t="s">
        <v>23</v>
      </c>
      <c r="AG1" s="2" t="s">
        <v>24</v>
      </c>
      <c r="AH1" s="2" t="s">
        <v>25</v>
      </c>
      <c r="AI1" s="2" t="s">
        <v>25</v>
      </c>
      <c r="AJ1" s="2" t="s">
        <v>26</v>
      </c>
      <c r="AK1" s="2" t="s">
        <v>26</v>
      </c>
      <c r="AL1" s="2" t="s">
        <v>27</v>
      </c>
      <c r="AM1" s="2" t="s">
        <v>27</v>
      </c>
      <c r="AN1" s="2" t="s">
        <v>28</v>
      </c>
      <c r="AO1" s="2" t="s">
        <v>29</v>
      </c>
      <c r="AP1" s="2" t="s">
        <v>30</v>
      </c>
      <c r="AQ1" s="2" t="s">
        <v>31</v>
      </c>
      <c r="AR1" s="2" t="s">
        <v>32</v>
      </c>
      <c r="AS1" s="2" t="s">
        <v>33</v>
      </c>
      <c r="AT1" s="2" t="s">
        <v>34</v>
      </c>
      <c r="AU1" s="2" t="s">
        <v>34</v>
      </c>
      <c r="AV1" s="2" t="s">
        <v>35</v>
      </c>
      <c r="AW1" s="2" t="s">
        <v>35</v>
      </c>
      <c r="AX1" s="2" t="s">
        <v>36</v>
      </c>
      <c r="AY1" s="2" t="s">
        <v>36</v>
      </c>
      <c r="AZ1" s="2" t="s">
        <v>37</v>
      </c>
      <c r="BA1" s="2" t="s">
        <v>37</v>
      </c>
      <c r="BB1" s="2" t="s">
        <v>38</v>
      </c>
      <c r="BC1" s="2" t="s">
        <v>39</v>
      </c>
      <c r="BD1" s="2" t="s">
        <v>40</v>
      </c>
      <c r="BE1" s="2" t="s">
        <v>41</v>
      </c>
      <c r="BF1" s="2" t="s">
        <v>42</v>
      </c>
      <c r="BG1" s="2" t="s">
        <v>43</v>
      </c>
      <c r="BH1" s="2" t="s">
        <v>44</v>
      </c>
      <c r="BI1" s="2" t="s">
        <v>45</v>
      </c>
      <c r="BJ1" s="2" t="s">
        <v>46</v>
      </c>
      <c r="BK1" s="2" t="s">
        <v>47</v>
      </c>
      <c r="BL1" s="2" t="s">
        <v>48</v>
      </c>
      <c r="BM1" s="2" t="s">
        <v>49</v>
      </c>
      <c r="BN1" s="2" t="s">
        <v>50</v>
      </c>
      <c r="BO1" s="2" t="s">
        <v>51</v>
      </c>
      <c r="BP1" s="2" t="s">
        <v>52</v>
      </c>
      <c r="BQ1" s="2" t="s">
        <v>53</v>
      </c>
      <c r="BR1" s="2" t="s">
        <v>54</v>
      </c>
      <c r="BS1" s="2" t="s">
        <v>55</v>
      </c>
      <c r="BT1" s="2" t="s">
        <v>56</v>
      </c>
      <c r="BU1" s="2" t="s">
        <v>57</v>
      </c>
      <c r="BV1" s="2" t="s">
        <v>58</v>
      </c>
      <c r="BW1" s="2" t="s">
        <v>59</v>
      </c>
      <c r="BX1" s="2" t="s">
        <v>60</v>
      </c>
      <c r="BY1" s="2" t="s">
        <v>61</v>
      </c>
      <c r="BZ1" s="2" t="s">
        <v>62</v>
      </c>
      <c r="CA1" s="2" t="s">
        <v>63</v>
      </c>
      <c r="CB1" s="2" t="s">
        <v>64</v>
      </c>
      <c r="CC1" s="2" t="s">
        <v>65</v>
      </c>
      <c r="CD1" s="2" t="s">
        <v>66</v>
      </c>
      <c r="CK1" s="2"/>
      <c r="CL1" s="2"/>
      <c r="CM1" s="2"/>
    </row>
    <row r="2" ht="39.75" customHeight="1">
      <c r="A2" s="3" t="s">
        <v>67</v>
      </c>
      <c r="B2" s="3"/>
      <c r="C2" s="4">
        <f>CF6/D50</f>
        <v>2.490579492</v>
      </c>
      <c r="G2" s="1" t="s">
        <v>68</v>
      </c>
      <c r="H2" s="5" t="s">
        <v>69</v>
      </c>
      <c r="I2" s="5" t="s">
        <v>69</v>
      </c>
      <c r="J2" s="5" t="s">
        <v>70</v>
      </c>
      <c r="K2" s="5" t="s">
        <v>70</v>
      </c>
      <c r="L2" s="5" t="s">
        <v>71</v>
      </c>
      <c r="M2" s="5" t="s">
        <v>72</v>
      </c>
      <c r="N2" s="5" t="s">
        <v>73</v>
      </c>
      <c r="O2" s="5" t="s">
        <v>74</v>
      </c>
      <c r="P2" s="5" t="s">
        <v>75</v>
      </c>
      <c r="Q2" s="5" t="s">
        <v>76</v>
      </c>
      <c r="R2" s="5" t="s">
        <v>77</v>
      </c>
      <c r="S2" s="5" t="s">
        <v>78</v>
      </c>
      <c r="T2" s="5" t="s">
        <v>79</v>
      </c>
      <c r="U2" s="5" t="s">
        <v>80</v>
      </c>
      <c r="V2" s="5" t="s">
        <v>81</v>
      </c>
      <c r="W2" s="5" t="s">
        <v>82</v>
      </c>
      <c r="X2" s="5" t="s">
        <v>83</v>
      </c>
      <c r="Y2" s="5" t="s">
        <v>84</v>
      </c>
      <c r="Z2" s="5" t="s">
        <v>85</v>
      </c>
      <c r="AA2" s="5" t="s">
        <v>86</v>
      </c>
      <c r="AB2" s="5" t="s">
        <v>87</v>
      </c>
      <c r="AC2" s="5" t="s">
        <v>88</v>
      </c>
      <c r="AD2" s="5" t="s">
        <v>89</v>
      </c>
      <c r="AE2" s="5" t="s">
        <v>90</v>
      </c>
      <c r="AF2" s="5" t="s">
        <v>91</v>
      </c>
      <c r="AG2" s="5" t="s">
        <v>92</v>
      </c>
      <c r="AH2" s="5" t="s">
        <v>93</v>
      </c>
      <c r="AI2" s="5" t="s">
        <v>93</v>
      </c>
      <c r="AJ2" s="5" t="s">
        <v>94</v>
      </c>
      <c r="AK2" s="5" t="s">
        <v>94</v>
      </c>
      <c r="AL2" s="5" t="s">
        <v>95</v>
      </c>
      <c r="AM2" s="5" t="s">
        <v>95</v>
      </c>
      <c r="AN2" s="5" t="s">
        <v>96</v>
      </c>
      <c r="AO2" s="5" t="s">
        <v>96</v>
      </c>
      <c r="AP2" s="5" t="s">
        <v>97</v>
      </c>
      <c r="AQ2" s="5" t="s">
        <v>97</v>
      </c>
      <c r="AR2" s="5" t="s">
        <v>98</v>
      </c>
      <c r="AS2" s="5" t="s">
        <v>98</v>
      </c>
      <c r="AT2" s="5" t="s">
        <v>99</v>
      </c>
      <c r="AU2" s="5" t="s">
        <v>99</v>
      </c>
      <c r="AV2" s="5" t="s">
        <v>100</v>
      </c>
      <c r="AW2" s="5" t="s">
        <v>100</v>
      </c>
      <c r="AX2" s="5" t="s">
        <v>101</v>
      </c>
      <c r="AY2" s="5" t="s">
        <v>101</v>
      </c>
      <c r="AZ2" s="5" t="s">
        <v>102</v>
      </c>
      <c r="BA2" s="5" t="s">
        <v>102</v>
      </c>
      <c r="BB2" s="5" t="s">
        <v>103</v>
      </c>
      <c r="BC2" s="5" t="s">
        <v>103</v>
      </c>
      <c r="BD2" s="5" t="s">
        <v>104</v>
      </c>
      <c r="BE2" s="5" t="s">
        <v>104</v>
      </c>
      <c r="BF2" s="5" t="s">
        <v>105</v>
      </c>
      <c r="BG2" s="5" t="s">
        <v>105</v>
      </c>
      <c r="BH2" s="5" t="s">
        <v>106</v>
      </c>
      <c r="BI2" s="5" t="s">
        <v>107</v>
      </c>
      <c r="BJ2" s="5" t="s">
        <v>108</v>
      </c>
      <c r="BK2" s="5" t="s">
        <v>109</v>
      </c>
      <c r="BL2" s="5" t="s">
        <v>110</v>
      </c>
      <c r="BM2" s="5" t="s">
        <v>111</v>
      </c>
      <c r="BN2" s="5" t="s">
        <v>112</v>
      </c>
      <c r="BO2" s="5" t="s">
        <v>113</v>
      </c>
      <c r="BP2" s="5" t="s">
        <v>114</v>
      </c>
      <c r="BQ2" s="5" t="s">
        <v>115</v>
      </c>
      <c r="BR2" s="5" t="s">
        <v>116</v>
      </c>
      <c r="BS2" s="5" t="s">
        <v>117</v>
      </c>
      <c r="BT2" s="5" t="s">
        <v>118</v>
      </c>
      <c r="BU2" s="5" t="s">
        <v>119</v>
      </c>
      <c r="BV2" s="5" t="s">
        <v>120</v>
      </c>
      <c r="BW2" s="5" t="s">
        <v>121</v>
      </c>
      <c r="BX2" s="5" t="s">
        <v>122</v>
      </c>
      <c r="BY2" s="5" t="s">
        <v>123</v>
      </c>
      <c r="BZ2" s="5" t="s">
        <v>124</v>
      </c>
      <c r="CA2" s="5" t="s">
        <v>125</v>
      </c>
      <c r="CB2" s="5" t="s">
        <v>126</v>
      </c>
      <c r="CC2" s="5" t="s">
        <v>127</v>
      </c>
      <c r="CD2" s="5" t="s">
        <v>128</v>
      </c>
      <c r="CK2" s="5"/>
      <c r="CL2" s="5"/>
      <c r="CM2" s="5"/>
    </row>
    <row r="3" ht="19.5" customHeight="1">
      <c r="A3" s="6"/>
      <c r="B3" s="6"/>
      <c r="G3" s="1" t="s">
        <v>129</v>
      </c>
      <c r="H3" s="7">
        <v>1.0</v>
      </c>
      <c r="I3" s="7">
        <v>2.0</v>
      </c>
      <c r="J3" s="7">
        <v>1.0</v>
      </c>
      <c r="K3" s="7">
        <v>2.0</v>
      </c>
      <c r="L3" s="7">
        <v>1.0</v>
      </c>
      <c r="M3" s="7">
        <v>2.0</v>
      </c>
      <c r="N3" s="7">
        <v>2.0</v>
      </c>
      <c r="O3" s="7">
        <v>1.0</v>
      </c>
      <c r="P3" s="7">
        <v>2.0</v>
      </c>
      <c r="Q3" s="7">
        <v>1.0</v>
      </c>
      <c r="R3" s="7">
        <v>1.0</v>
      </c>
      <c r="S3" s="7">
        <v>2.0</v>
      </c>
      <c r="T3" s="7">
        <v>1.0</v>
      </c>
      <c r="U3" s="7">
        <v>2.0</v>
      </c>
      <c r="V3" s="7">
        <v>2.0</v>
      </c>
      <c r="W3" s="7">
        <v>2.0</v>
      </c>
      <c r="X3" s="7">
        <v>1.0</v>
      </c>
      <c r="Y3" s="7">
        <v>2.0</v>
      </c>
      <c r="Z3" s="7">
        <v>1.0</v>
      </c>
      <c r="AA3" s="7">
        <v>1.0</v>
      </c>
      <c r="AB3" s="7">
        <v>2.0</v>
      </c>
      <c r="AC3" s="7">
        <v>1.0</v>
      </c>
      <c r="AD3" s="7">
        <v>2.0</v>
      </c>
      <c r="AE3" s="7">
        <v>1.0</v>
      </c>
      <c r="AF3" s="7">
        <v>2.0</v>
      </c>
      <c r="AG3" s="7">
        <v>2.0</v>
      </c>
      <c r="AH3" s="7">
        <v>1.0</v>
      </c>
      <c r="AI3" s="7">
        <v>2.0</v>
      </c>
      <c r="AJ3" s="7">
        <v>1.0</v>
      </c>
      <c r="AK3" s="7">
        <v>2.0</v>
      </c>
      <c r="AL3" s="7">
        <v>1.0</v>
      </c>
      <c r="AM3" s="7">
        <v>2.0</v>
      </c>
      <c r="AN3" s="7">
        <v>1.0</v>
      </c>
      <c r="AO3" s="7">
        <v>2.0</v>
      </c>
      <c r="AP3" s="7">
        <v>1.0</v>
      </c>
      <c r="AQ3" s="7">
        <v>2.0</v>
      </c>
      <c r="AR3" s="7">
        <v>1.0</v>
      </c>
      <c r="AS3" s="7">
        <v>2.0</v>
      </c>
      <c r="AT3" s="7">
        <v>1.0</v>
      </c>
      <c r="AU3" s="7">
        <v>2.0</v>
      </c>
      <c r="AV3" s="7">
        <v>1.0</v>
      </c>
      <c r="AW3" s="7">
        <v>2.0</v>
      </c>
      <c r="AX3" s="7">
        <v>1.0</v>
      </c>
      <c r="AY3" s="7">
        <v>2.0</v>
      </c>
      <c r="AZ3" s="7">
        <v>1.0</v>
      </c>
      <c r="BA3" s="7">
        <v>2.0</v>
      </c>
      <c r="BB3" s="7">
        <v>1.0</v>
      </c>
      <c r="BC3" s="7">
        <v>2.0</v>
      </c>
      <c r="BD3" s="7">
        <v>1.0</v>
      </c>
      <c r="BE3" s="7">
        <v>2.0</v>
      </c>
      <c r="BF3" s="7">
        <v>1.0</v>
      </c>
      <c r="BG3" s="7">
        <v>2.0</v>
      </c>
      <c r="BH3" s="7">
        <v>1.0</v>
      </c>
      <c r="BI3" s="7">
        <v>1.0</v>
      </c>
      <c r="BJ3" s="7">
        <v>2.0</v>
      </c>
      <c r="BK3" s="7">
        <v>1.0</v>
      </c>
      <c r="BL3" s="7">
        <v>1.0</v>
      </c>
      <c r="BM3" s="7">
        <v>2.0</v>
      </c>
      <c r="BN3" s="7">
        <v>1.0</v>
      </c>
      <c r="BO3" s="7">
        <v>2.0</v>
      </c>
      <c r="BP3" s="7">
        <v>2.0</v>
      </c>
      <c r="BQ3" s="7">
        <v>2.0</v>
      </c>
      <c r="BR3" s="7">
        <v>1.0</v>
      </c>
      <c r="BS3" s="7">
        <v>1.0</v>
      </c>
      <c r="BT3" s="7">
        <v>1.0</v>
      </c>
      <c r="BU3" s="7">
        <v>2.0</v>
      </c>
      <c r="BV3" s="7">
        <v>2.0</v>
      </c>
      <c r="BW3" s="7">
        <v>2.0</v>
      </c>
      <c r="BX3" s="7">
        <v>1.0</v>
      </c>
      <c r="BY3" s="7">
        <v>2.0</v>
      </c>
      <c r="BZ3" s="7">
        <v>1.0</v>
      </c>
      <c r="CA3" s="7">
        <v>2.0</v>
      </c>
      <c r="CB3" s="7">
        <v>2.0</v>
      </c>
      <c r="CC3" s="7">
        <v>1.0</v>
      </c>
      <c r="CD3" s="7">
        <v>2.0</v>
      </c>
      <c r="CK3" s="7"/>
      <c r="CL3" s="7"/>
      <c r="CM3" s="7"/>
    </row>
    <row r="4" ht="17.25" customHeight="1">
      <c r="G4" s="3" t="s">
        <v>130</v>
      </c>
      <c r="H4" s="8">
        <v>490.0</v>
      </c>
      <c r="I4" s="8">
        <v>610.0</v>
      </c>
      <c r="J4" s="8">
        <v>610.0</v>
      </c>
      <c r="K4" s="8">
        <v>670.0</v>
      </c>
      <c r="L4" s="8">
        <v>680.0</v>
      </c>
      <c r="M4" s="8">
        <v>180.0</v>
      </c>
      <c r="N4" s="8">
        <v>50.0</v>
      </c>
      <c r="O4" s="8">
        <v>400.0</v>
      </c>
      <c r="P4" s="8">
        <v>550.0</v>
      </c>
      <c r="Q4" s="8">
        <v>500.0</v>
      </c>
      <c r="R4" s="8">
        <v>600.0</v>
      </c>
      <c r="S4" s="8">
        <v>630.0</v>
      </c>
      <c r="T4" s="8">
        <v>40.0</v>
      </c>
      <c r="U4" s="8">
        <v>60.0</v>
      </c>
      <c r="V4" s="8">
        <v>140.0</v>
      </c>
      <c r="W4" s="8">
        <v>150.0</v>
      </c>
      <c r="X4" s="8">
        <v>140.0</v>
      </c>
      <c r="Y4" s="8">
        <v>350.0</v>
      </c>
      <c r="Z4" s="8">
        <v>40.0</v>
      </c>
      <c r="AA4" s="8">
        <v>35.0</v>
      </c>
      <c r="AB4" s="8">
        <v>180.0</v>
      </c>
      <c r="AC4" s="8">
        <v>130.0</v>
      </c>
      <c r="AD4" s="8">
        <v>85.0</v>
      </c>
      <c r="AE4" s="8">
        <v>100.0</v>
      </c>
      <c r="AF4" s="8">
        <v>80.0</v>
      </c>
      <c r="AG4" s="8">
        <v>120.0</v>
      </c>
      <c r="AH4" s="8">
        <v>800.0</v>
      </c>
      <c r="AI4" s="8">
        <v>275.0</v>
      </c>
      <c r="AJ4" s="8">
        <v>720.0</v>
      </c>
      <c r="AK4" s="8">
        <v>710.0</v>
      </c>
      <c r="AL4" s="8">
        <v>450.0</v>
      </c>
      <c r="AM4" s="8">
        <v>170.0</v>
      </c>
      <c r="AN4" s="8">
        <v>81.0</v>
      </c>
      <c r="AO4" s="8">
        <v>81.0</v>
      </c>
      <c r="AP4" s="8">
        <v>80.0</v>
      </c>
      <c r="AQ4" s="8">
        <v>80.0</v>
      </c>
      <c r="AR4" s="8">
        <v>53.0</v>
      </c>
      <c r="AS4" s="8">
        <v>53.0</v>
      </c>
      <c r="AT4" s="8">
        <v>108.0</v>
      </c>
      <c r="AU4" s="8">
        <v>108.0</v>
      </c>
      <c r="AV4" s="8">
        <v>108.0</v>
      </c>
      <c r="AW4" s="8">
        <v>108.0</v>
      </c>
      <c r="AX4" s="8">
        <v>108.0</v>
      </c>
      <c r="AY4" s="8">
        <v>54.0</v>
      </c>
      <c r="AZ4" s="8">
        <v>108.0</v>
      </c>
      <c r="BA4" s="8">
        <v>54.0</v>
      </c>
      <c r="BB4" s="8">
        <v>70.0</v>
      </c>
      <c r="BC4" s="8">
        <v>70.0</v>
      </c>
      <c r="BD4" s="8">
        <v>70.0</v>
      </c>
      <c r="BE4" s="8">
        <v>70.0</v>
      </c>
      <c r="BF4" s="8">
        <v>70.0</v>
      </c>
      <c r="BG4" s="8">
        <v>70.0</v>
      </c>
      <c r="BH4" s="8">
        <v>88.0</v>
      </c>
      <c r="BI4" s="8">
        <v>135.0</v>
      </c>
      <c r="BJ4" s="8">
        <v>70.0</v>
      </c>
      <c r="BK4" s="8">
        <v>140.0</v>
      </c>
      <c r="BL4" s="8">
        <v>74.0</v>
      </c>
      <c r="BM4" s="8">
        <v>136.0</v>
      </c>
      <c r="BN4" s="8">
        <v>70.0</v>
      </c>
      <c r="BO4" s="8">
        <v>139.0</v>
      </c>
      <c r="BP4" s="8">
        <v>70.0</v>
      </c>
      <c r="BQ4" s="8">
        <v>200.0</v>
      </c>
      <c r="BR4" s="8">
        <v>100.0</v>
      </c>
      <c r="BS4" s="8">
        <v>280.0</v>
      </c>
      <c r="BT4" s="8">
        <v>158.0</v>
      </c>
      <c r="BU4" s="8">
        <v>69.0</v>
      </c>
      <c r="BV4" s="8">
        <v>121.0</v>
      </c>
      <c r="BW4" s="8">
        <v>70.0</v>
      </c>
      <c r="BX4" s="8">
        <v>74.0</v>
      </c>
      <c r="BY4" s="8">
        <v>74.0</v>
      </c>
      <c r="BZ4" s="8">
        <v>50.0</v>
      </c>
      <c r="CA4" s="8">
        <v>59.0</v>
      </c>
      <c r="CB4" s="8">
        <v>36.0</v>
      </c>
      <c r="CC4" s="8">
        <v>36.0</v>
      </c>
      <c r="CD4" s="8">
        <v>77.0</v>
      </c>
      <c r="CK4" s="8"/>
      <c r="CL4" s="8"/>
      <c r="CM4" s="8"/>
    </row>
    <row r="5" ht="18.0" customHeight="1">
      <c r="G5" s="1" t="s">
        <v>131</v>
      </c>
      <c r="H5" s="9">
        <v>1.0</v>
      </c>
      <c r="I5" s="9">
        <v>1.0</v>
      </c>
      <c r="J5" s="9">
        <v>0.6</v>
      </c>
      <c r="K5" s="10">
        <v>0.0</v>
      </c>
      <c r="L5" s="9">
        <v>1.0</v>
      </c>
      <c r="M5" s="9">
        <v>1.0</v>
      </c>
      <c r="N5" s="9">
        <v>0.5</v>
      </c>
      <c r="O5" s="9">
        <v>1.0</v>
      </c>
      <c r="P5" s="9">
        <v>1.0</v>
      </c>
      <c r="Q5" s="9">
        <v>1.0</v>
      </c>
      <c r="R5" s="9">
        <v>1.0</v>
      </c>
      <c r="S5" s="9">
        <v>1.0</v>
      </c>
      <c r="T5" s="9">
        <v>1.0</v>
      </c>
      <c r="U5" s="9">
        <v>1.0</v>
      </c>
      <c r="V5" s="9">
        <v>1.0</v>
      </c>
      <c r="W5" s="9">
        <v>1.0</v>
      </c>
      <c r="X5" s="9">
        <v>1.0</v>
      </c>
      <c r="Y5" s="9">
        <v>1.0</v>
      </c>
      <c r="Z5" s="9">
        <v>1.0</v>
      </c>
      <c r="AA5" s="9">
        <v>1.0</v>
      </c>
      <c r="AB5" s="9">
        <v>1.0</v>
      </c>
      <c r="AC5" s="9">
        <v>1.0</v>
      </c>
      <c r="AD5" s="9">
        <v>1.0</v>
      </c>
      <c r="AE5" s="9">
        <v>1.0</v>
      </c>
      <c r="AF5" s="9">
        <v>1.0</v>
      </c>
      <c r="AG5" s="10">
        <v>0.0</v>
      </c>
      <c r="AH5" s="9">
        <v>1.0</v>
      </c>
      <c r="AI5" s="9">
        <v>1.0</v>
      </c>
      <c r="AJ5" s="9">
        <v>1.0</v>
      </c>
      <c r="AK5" s="9">
        <v>1.0</v>
      </c>
      <c r="AL5" s="9">
        <v>1.0</v>
      </c>
      <c r="AM5" s="9">
        <v>1.0</v>
      </c>
      <c r="AN5" s="9">
        <v>1.0</v>
      </c>
      <c r="AO5" s="9">
        <v>1.2</v>
      </c>
      <c r="AP5" s="9">
        <v>1.0</v>
      </c>
      <c r="AQ5" s="9">
        <v>1.0</v>
      </c>
      <c r="AR5" s="9">
        <v>1.0</v>
      </c>
      <c r="AS5" s="9">
        <v>1.2</v>
      </c>
      <c r="AT5" s="9">
        <v>0.7</v>
      </c>
      <c r="AU5" s="9">
        <v>0.5</v>
      </c>
      <c r="AV5" s="9">
        <v>0.7</v>
      </c>
      <c r="AW5" s="9">
        <v>0.5</v>
      </c>
      <c r="AX5" s="9">
        <v>0.7</v>
      </c>
      <c r="AY5" s="9">
        <v>0.5</v>
      </c>
      <c r="AZ5" s="9">
        <v>0.7</v>
      </c>
      <c r="BA5" s="9">
        <v>0.5</v>
      </c>
      <c r="BB5" s="9">
        <v>0.5</v>
      </c>
      <c r="BC5" s="9">
        <v>0.5</v>
      </c>
      <c r="BD5" s="9">
        <v>0.5</v>
      </c>
      <c r="BE5" s="9">
        <v>0.5</v>
      </c>
      <c r="BF5" s="9">
        <v>1.0</v>
      </c>
      <c r="BG5" s="9">
        <v>1.0</v>
      </c>
      <c r="BH5" s="9">
        <v>1.0</v>
      </c>
      <c r="BI5" s="9">
        <v>1.0</v>
      </c>
      <c r="BJ5" s="9">
        <v>1.0</v>
      </c>
      <c r="BK5" s="9">
        <v>1.0</v>
      </c>
      <c r="BL5" s="9">
        <v>1.0</v>
      </c>
      <c r="BM5" s="9">
        <v>1.0</v>
      </c>
      <c r="BN5" s="9">
        <v>1.0</v>
      </c>
      <c r="BO5" s="9">
        <v>0.5</v>
      </c>
      <c r="BP5" s="9">
        <v>1.0</v>
      </c>
      <c r="BQ5" s="9">
        <v>1.0</v>
      </c>
      <c r="BR5" s="9">
        <v>1.0</v>
      </c>
      <c r="BS5" s="9">
        <v>1.0</v>
      </c>
      <c r="BT5" s="9">
        <v>1.0</v>
      </c>
      <c r="BU5" s="9">
        <v>1.0</v>
      </c>
      <c r="BV5" s="9">
        <v>1.0</v>
      </c>
      <c r="BW5" s="9">
        <v>1.0</v>
      </c>
      <c r="BX5" s="9">
        <v>1.0</v>
      </c>
      <c r="BY5" s="9">
        <v>1.0</v>
      </c>
      <c r="BZ5" s="9">
        <v>1.0</v>
      </c>
      <c r="CA5" s="9">
        <v>1.0</v>
      </c>
      <c r="CB5" s="9">
        <v>1.0</v>
      </c>
      <c r="CC5" s="9">
        <v>1.0</v>
      </c>
      <c r="CD5" s="9">
        <v>1.0</v>
      </c>
      <c r="CK5" s="9"/>
      <c r="CL5" s="9"/>
      <c r="CM5" s="9"/>
    </row>
    <row r="6" ht="19.5" customHeight="1">
      <c r="A6" s="3" t="s">
        <v>132</v>
      </c>
      <c r="B6" s="3"/>
      <c r="C6" s="4">
        <v>0.8</v>
      </c>
      <c r="G6" s="3" t="s">
        <v>133</v>
      </c>
      <c r="H6" s="11">
        <f t="shared" ref="H6:CD6" si="1">MAX(LOG10(H4/7),$C$6)*H5</f>
        <v>1.84509804</v>
      </c>
      <c r="I6" s="11">
        <f t="shared" si="1"/>
        <v>1.940231795</v>
      </c>
      <c r="J6" s="11">
        <f t="shared" si="1"/>
        <v>1.164139077</v>
      </c>
      <c r="K6" s="11">
        <f t="shared" si="1"/>
        <v>0</v>
      </c>
      <c r="L6" s="11">
        <f t="shared" si="1"/>
        <v>1.987410873</v>
      </c>
      <c r="M6" s="11">
        <f t="shared" si="1"/>
        <v>1.410174465</v>
      </c>
      <c r="N6" s="11">
        <f t="shared" si="1"/>
        <v>0.4269359822</v>
      </c>
      <c r="O6" s="11">
        <f t="shared" si="1"/>
        <v>1.756961951</v>
      </c>
      <c r="P6" s="11">
        <f t="shared" si="1"/>
        <v>1.895264649</v>
      </c>
      <c r="Q6" s="11">
        <f t="shared" si="1"/>
        <v>1.853871964</v>
      </c>
      <c r="R6" s="11">
        <f t="shared" si="1"/>
        <v>1.93305321</v>
      </c>
      <c r="S6" s="11">
        <f t="shared" si="1"/>
        <v>1.954242509</v>
      </c>
      <c r="T6" s="11">
        <f t="shared" si="1"/>
        <v>0.8</v>
      </c>
      <c r="U6" s="11">
        <f t="shared" si="1"/>
        <v>0.9330532104</v>
      </c>
      <c r="V6" s="11">
        <f t="shared" si="1"/>
        <v>1.301029996</v>
      </c>
      <c r="W6" s="11">
        <f t="shared" si="1"/>
        <v>1.330993219</v>
      </c>
      <c r="X6" s="11">
        <f t="shared" si="1"/>
        <v>1.301029996</v>
      </c>
      <c r="Y6" s="11">
        <f t="shared" si="1"/>
        <v>1.698970004</v>
      </c>
      <c r="Z6" s="11">
        <f t="shared" si="1"/>
        <v>0.8</v>
      </c>
      <c r="AA6" s="11">
        <f t="shared" si="1"/>
        <v>0.8</v>
      </c>
      <c r="AB6" s="11">
        <f t="shared" si="1"/>
        <v>1.410174465</v>
      </c>
      <c r="AC6" s="11">
        <f t="shared" si="1"/>
        <v>1.268845312</v>
      </c>
      <c r="AD6" s="11">
        <f t="shared" si="1"/>
        <v>1.084320886</v>
      </c>
      <c r="AE6" s="11">
        <f t="shared" si="1"/>
        <v>1.15490196</v>
      </c>
      <c r="AF6" s="11">
        <f t="shared" si="1"/>
        <v>1.057991947</v>
      </c>
      <c r="AG6" s="11">
        <f t="shared" si="1"/>
        <v>0</v>
      </c>
      <c r="AH6" s="11">
        <f t="shared" si="1"/>
        <v>2.057991947</v>
      </c>
      <c r="AI6" s="11">
        <f t="shared" si="1"/>
        <v>1.594234654</v>
      </c>
      <c r="AJ6" s="11">
        <f t="shared" si="1"/>
        <v>2.012234456</v>
      </c>
      <c r="AK6" s="11">
        <f t="shared" si="1"/>
        <v>2.006160309</v>
      </c>
      <c r="AL6" s="11">
        <f t="shared" si="1"/>
        <v>1.808114474</v>
      </c>
      <c r="AM6" s="11">
        <f t="shared" si="1"/>
        <v>1.385350881</v>
      </c>
      <c r="AN6" s="11">
        <f t="shared" si="1"/>
        <v>1.063386979</v>
      </c>
      <c r="AO6" s="11">
        <f t="shared" si="1"/>
        <v>1.276064375</v>
      </c>
      <c r="AP6" s="11">
        <f t="shared" si="1"/>
        <v>1.057991947</v>
      </c>
      <c r="AQ6" s="11">
        <f t="shared" si="1"/>
        <v>1.057991947</v>
      </c>
      <c r="AR6" s="11">
        <f t="shared" si="1"/>
        <v>0.8791778296</v>
      </c>
      <c r="AS6" s="11">
        <f t="shared" si="1"/>
        <v>1.055013396</v>
      </c>
      <c r="AT6" s="11">
        <f t="shared" si="1"/>
        <v>0.8318280008</v>
      </c>
      <c r="AU6" s="11">
        <f t="shared" si="1"/>
        <v>0.5941628577</v>
      </c>
      <c r="AV6" s="11">
        <f t="shared" si="1"/>
        <v>0.8318280008</v>
      </c>
      <c r="AW6" s="11">
        <f t="shared" si="1"/>
        <v>0.5941628577</v>
      </c>
      <c r="AX6" s="11">
        <f t="shared" si="1"/>
        <v>0.8318280008</v>
      </c>
      <c r="AY6" s="11">
        <f t="shared" si="1"/>
        <v>0.4436478599</v>
      </c>
      <c r="AZ6" s="11">
        <f t="shared" si="1"/>
        <v>0.8318280008</v>
      </c>
      <c r="BA6" s="11">
        <f t="shared" si="1"/>
        <v>0.4436478599</v>
      </c>
      <c r="BB6" s="11">
        <f t="shared" si="1"/>
        <v>0.5</v>
      </c>
      <c r="BC6" s="11">
        <f t="shared" si="1"/>
        <v>0.5</v>
      </c>
      <c r="BD6" s="11">
        <f t="shared" si="1"/>
        <v>0.5</v>
      </c>
      <c r="BE6" s="11">
        <f t="shared" si="1"/>
        <v>0.5</v>
      </c>
      <c r="BF6" s="11">
        <f t="shared" si="1"/>
        <v>1</v>
      </c>
      <c r="BG6" s="11">
        <f t="shared" si="1"/>
        <v>1</v>
      </c>
      <c r="BH6" s="11">
        <f t="shared" si="1"/>
        <v>1.099384632</v>
      </c>
      <c r="BI6" s="11">
        <f t="shared" si="1"/>
        <v>1.285235728</v>
      </c>
      <c r="BJ6" s="11">
        <f t="shared" si="1"/>
        <v>1</v>
      </c>
      <c r="BK6" s="11">
        <f t="shared" si="1"/>
        <v>1.301029996</v>
      </c>
      <c r="BL6" s="11">
        <f t="shared" si="1"/>
        <v>1.02413368</v>
      </c>
      <c r="BM6" s="11">
        <f t="shared" si="1"/>
        <v>1.288440868</v>
      </c>
      <c r="BN6" s="11">
        <f t="shared" si="1"/>
        <v>1</v>
      </c>
      <c r="BO6" s="11">
        <f t="shared" si="1"/>
        <v>0.6489583801</v>
      </c>
      <c r="BP6" s="11">
        <f t="shared" si="1"/>
        <v>1</v>
      </c>
      <c r="BQ6" s="11">
        <f t="shared" si="1"/>
        <v>1.455931956</v>
      </c>
      <c r="BR6" s="11">
        <f t="shared" si="1"/>
        <v>1.15490196</v>
      </c>
      <c r="BS6" s="11">
        <f t="shared" si="1"/>
        <v>1.602059991</v>
      </c>
      <c r="BT6" s="11">
        <f t="shared" si="1"/>
        <v>1.353559047</v>
      </c>
      <c r="BU6" s="11">
        <f t="shared" si="1"/>
        <v>0.9937510507</v>
      </c>
      <c r="BV6" s="11">
        <f t="shared" si="1"/>
        <v>1.23768733</v>
      </c>
      <c r="BW6" s="11">
        <f t="shared" si="1"/>
        <v>1</v>
      </c>
      <c r="BX6" s="11">
        <f t="shared" si="1"/>
        <v>1.02413368</v>
      </c>
      <c r="BY6" s="11">
        <f t="shared" si="1"/>
        <v>1.02413368</v>
      </c>
      <c r="BZ6" s="11">
        <f t="shared" si="1"/>
        <v>0.8538719643</v>
      </c>
      <c r="CA6" s="11">
        <f t="shared" si="1"/>
        <v>0.9257539716</v>
      </c>
      <c r="CB6" s="11">
        <f t="shared" si="1"/>
        <v>0.8</v>
      </c>
      <c r="CC6" s="11">
        <f t="shared" si="1"/>
        <v>0.8</v>
      </c>
      <c r="CD6" s="11">
        <f t="shared" si="1"/>
        <v>1.041392685</v>
      </c>
      <c r="CE6" s="4" t="s">
        <v>134</v>
      </c>
      <c r="CF6" s="12">
        <f>SUM(H6:CD6)</f>
        <v>84.67970274</v>
      </c>
      <c r="CK6" s="11"/>
      <c r="CL6" s="11"/>
      <c r="CM6" s="11"/>
    </row>
    <row r="7" ht="21.75" customHeight="1">
      <c r="G7" s="3" t="s">
        <v>135</v>
      </c>
      <c r="H7" s="7">
        <f t="shared" ref="H7:CD7" si="2">SUM(H9:H49)</f>
        <v>1</v>
      </c>
      <c r="I7" s="7">
        <f t="shared" si="2"/>
        <v>1</v>
      </c>
      <c r="J7" s="7">
        <f t="shared" si="2"/>
        <v>1</v>
      </c>
      <c r="K7" s="7">
        <f t="shared" si="2"/>
        <v>0</v>
      </c>
      <c r="L7" s="7">
        <f t="shared" si="2"/>
        <v>1.1</v>
      </c>
      <c r="M7" s="7">
        <f t="shared" si="2"/>
        <v>1.1</v>
      </c>
      <c r="N7" s="7">
        <f t="shared" si="2"/>
        <v>1</v>
      </c>
      <c r="O7" s="7">
        <f t="shared" si="2"/>
        <v>1</v>
      </c>
      <c r="P7" s="7">
        <f t="shared" si="2"/>
        <v>1</v>
      </c>
      <c r="Q7" s="7">
        <f t="shared" si="2"/>
        <v>0.5</v>
      </c>
      <c r="R7" s="7">
        <f t="shared" si="2"/>
        <v>1</v>
      </c>
      <c r="S7" s="7">
        <f t="shared" si="2"/>
        <v>1</v>
      </c>
      <c r="T7" s="7">
        <f t="shared" si="2"/>
        <v>0.9</v>
      </c>
      <c r="U7" s="7">
        <f t="shared" si="2"/>
        <v>1</v>
      </c>
      <c r="V7" s="7">
        <f t="shared" si="2"/>
        <v>1</v>
      </c>
      <c r="W7" s="7">
        <f t="shared" si="2"/>
        <v>1</v>
      </c>
      <c r="X7" s="7">
        <f t="shared" si="2"/>
        <v>1</v>
      </c>
      <c r="Y7" s="7">
        <f t="shared" si="2"/>
        <v>1</v>
      </c>
      <c r="Z7" s="7">
        <f t="shared" si="2"/>
        <v>1</v>
      </c>
      <c r="AA7" s="7">
        <f t="shared" si="2"/>
        <v>1</v>
      </c>
      <c r="AB7" s="7">
        <f t="shared" si="2"/>
        <v>1</v>
      </c>
      <c r="AC7" s="7">
        <f t="shared" si="2"/>
        <v>1</v>
      </c>
      <c r="AD7" s="7">
        <f t="shared" si="2"/>
        <v>1</v>
      </c>
      <c r="AE7" s="7">
        <f t="shared" si="2"/>
        <v>1</v>
      </c>
      <c r="AF7" s="7">
        <f t="shared" si="2"/>
        <v>1</v>
      </c>
      <c r="AG7" s="7">
        <f t="shared" si="2"/>
        <v>0</v>
      </c>
      <c r="AH7" s="7">
        <f t="shared" si="2"/>
        <v>1</v>
      </c>
      <c r="AI7" s="7">
        <f t="shared" si="2"/>
        <v>1</v>
      </c>
      <c r="AJ7" s="7">
        <f t="shared" si="2"/>
        <v>1</v>
      </c>
      <c r="AK7" s="7">
        <f t="shared" si="2"/>
        <v>1</v>
      </c>
      <c r="AL7" s="7">
        <f t="shared" si="2"/>
        <v>0.7</v>
      </c>
      <c r="AM7" s="7">
        <f t="shared" si="2"/>
        <v>1.2</v>
      </c>
      <c r="AN7" s="7">
        <f t="shared" si="2"/>
        <v>1</v>
      </c>
      <c r="AO7" s="7">
        <f t="shared" si="2"/>
        <v>1</v>
      </c>
      <c r="AP7" s="7">
        <f t="shared" si="2"/>
        <v>1</v>
      </c>
      <c r="AQ7" s="7">
        <f t="shared" si="2"/>
        <v>1</v>
      </c>
      <c r="AR7" s="7">
        <f t="shared" si="2"/>
        <v>1</v>
      </c>
      <c r="AS7" s="7">
        <f t="shared" si="2"/>
        <v>1</v>
      </c>
      <c r="AT7" s="7">
        <f t="shared" si="2"/>
        <v>1</v>
      </c>
      <c r="AU7" s="7">
        <f t="shared" si="2"/>
        <v>1</v>
      </c>
      <c r="AV7" s="7">
        <f t="shared" si="2"/>
        <v>1</v>
      </c>
      <c r="AW7" s="7">
        <f t="shared" si="2"/>
        <v>1</v>
      </c>
      <c r="AX7" s="7">
        <f t="shared" si="2"/>
        <v>1</v>
      </c>
      <c r="AY7" s="7">
        <f t="shared" si="2"/>
        <v>1</v>
      </c>
      <c r="AZ7" s="7">
        <f t="shared" si="2"/>
        <v>1</v>
      </c>
      <c r="BA7" s="7">
        <f t="shared" si="2"/>
        <v>1</v>
      </c>
      <c r="BB7" s="7">
        <f t="shared" si="2"/>
        <v>1</v>
      </c>
      <c r="BC7" s="7">
        <f t="shared" si="2"/>
        <v>1</v>
      </c>
      <c r="BD7" s="7">
        <f t="shared" si="2"/>
        <v>1</v>
      </c>
      <c r="BE7" s="7">
        <f t="shared" si="2"/>
        <v>1</v>
      </c>
      <c r="BF7" s="7">
        <f t="shared" si="2"/>
        <v>1</v>
      </c>
      <c r="BG7" s="7">
        <f t="shared" si="2"/>
        <v>1</v>
      </c>
      <c r="BH7" s="7">
        <f t="shared" si="2"/>
        <v>1</v>
      </c>
      <c r="BI7" s="7">
        <f t="shared" si="2"/>
        <v>1</v>
      </c>
      <c r="BJ7" s="7">
        <f t="shared" si="2"/>
        <v>1</v>
      </c>
      <c r="BK7" s="7">
        <f t="shared" si="2"/>
        <v>1</v>
      </c>
      <c r="BL7" s="7">
        <f t="shared" si="2"/>
        <v>1</v>
      </c>
      <c r="BM7" s="7">
        <f t="shared" si="2"/>
        <v>1</v>
      </c>
      <c r="BN7" s="7">
        <f t="shared" si="2"/>
        <v>1</v>
      </c>
      <c r="BO7" s="7">
        <f t="shared" si="2"/>
        <v>1</v>
      </c>
      <c r="BP7" s="7">
        <f t="shared" si="2"/>
        <v>1</v>
      </c>
      <c r="BQ7" s="7">
        <f t="shared" si="2"/>
        <v>0.6</v>
      </c>
      <c r="BR7" s="7">
        <f t="shared" si="2"/>
        <v>1</v>
      </c>
      <c r="BS7" s="7">
        <f t="shared" si="2"/>
        <v>1</v>
      </c>
      <c r="BT7" s="7">
        <f t="shared" si="2"/>
        <v>1</v>
      </c>
      <c r="BU7" s="7">
        <f t="shared" si="2"/>
        <v>1</v>
      </c>
      <c r="BV7" s="7">
        <f t="shared" si="2"/>
        <v>1</v>
      </c>
      <c r="BW7" s="7">
        <f t="shared" si="2"/>
        <v>1</v>
      </c>
      <c r="BX7" s="7">
        <f t="shared" si="2"/>
        <v>1</v>
      </c>
      <c r="BY7" s="7">
        <f t="shared" si="2"/>
        <v>1</v>
      </c>
      <c r="BZ7" s="7">
        <f t="shared" si="2"/>
        <v>1</v>
      </c>
      <c r="CA7" s="7">
        <f t="shared" si="2"/>
        <v>1</v>
      </c>
      <c r="CB7" s="7">
        <f t="shared" si="2"/>
        <v>1</v>
      </c>
      <c r="CC7" s="7">
        <f t="shared" si="2"/>
        <v>1</v>
      </c>
      <c r="CD7" s="7">
        <f t="shared" si="2"/>
        <v>0</v>
      </c>
      <c r="CK7" s="7"/>
      <c r="CL7" s="7"/>
      <c r="CM7" s="7"/>
    </row>
    <row r="8" ht="30.75" customHeight="1">
      <c r="A8" s="13" t="s">
        <v>136</v>
      </c>
      <c r="B8" s="13" t="s">
        <v>137</v>
      </c>
      <c r="C8" s="13" t="s">
        <v>138</v>
      </c>
      <c r="D8" s="13" t="s">
        <v>139</v>
      </c>
      <c r="E8" s="13" t="s">
        <v>140</v>
      </c>
      <c r="F8" s="13" t="s">
        <v>141</v>
      </c>
      <c r="G8" s="13" t="s">
        <v>142</v>
      </c>
      <c r="H8" s="7">
        <f t="shared" ref="H8:CD8" si="3">IF(H5&lt;&gt;0,H7-1,H7)</f>
        <v>0</v>
      </c>
      <c r="I8" s="7">
        <f t="shared" si="3"/>
        <v>0</v>
      </c>
      <c r="J8" s="7">
        <f t="shared" si="3"/>
        <v>0</v>
      </c>
      <c r="K8" s="7">
        <f t="shared" si="3"/>
        <v>0</v>
      </c>
      <c r="L8" s="7">
        <f t="shared" si="3"/>
        <v>0.1</v>
      </c>
      <c r="M8" s="7">
        <f t="shared" si="3"/>
        <v>0.1</v>
      </c>
      <c r="N8" s="7">
        <f t="shared" si="3"/>
        <v>0</v>
      </c>
      <c r="O8" s="7">
        <f t="shared" si="3"/>
        <v>0</v>
      </c>
      <c r="P8" s="7">
        <f t="shared" si="3"/>
        <v>0</v>
      </c>
      <c r="Q8" s="7">
        <f t="shared" si="3"/>
        <v>-0.5</v>
      </c>
      <c r="R8" s="7">
        <f t="shared" si="3"/>
        <v>0</v>
      </c>
      <c r="S8" s="7">
        <f t="shared" si="3"/>
        <v>0</v>
      </c>
      <c r="T8" s="7">
        <f t="shared" si="3"/>
        <v>-0.1</v>
      </c>
      <c r="U8" s="7">
        <f t="shared" si="3"/>
        <v>0</v>
      </c>
      <c r="V8" s="7">
        <f t="shared" si="3"/>
        <v>0</v>
      </c>
      <c r="W8" s="7">
        <f t="shared" si="3"/>
        <v>0</v>
      </c>
      <c r="X8" s="7">
        <f t="shared" si="3"/>
        <v>0</v>
      </c>
      <c r="Y8" s="7">
        <f t="shared" si="3"/>
        <v>0</v>
      </c>
      <c r="Z8" s="7">
        <f t="shared" si="3"/>
        <v>0</v>
      </c>
      <c r="AA8" s="7">
        <f t="shared" si="3"/>
        <v>0</v>
      </c>
      <c r="AB8" s="7">
        <f t="shared" si="3"/>
        <v>0</v>
      </c>
      <c r="AC8" s="7">
        <f t="shared" si="3"/>
        <v>0</v>
      </c>
      <c r="AD8" s="7">
        <f t="shared" si="3"/>
        <v>0</v>
      </c>
      <c r="AE8" s="7">
        <f t="shared" si="3"/>
        <v>0</v>
      </c>
      <c r="AF8" s="7">
        <f t="shared" si="3"/>
        <v>0</v>
      </c>
      <c r="AG8" s="7">
        <f t="shared" si="3"/>
        <v>0</v>
      </c>
      <c r="AH8" s="7">
        <f t="shared" si="3"/>
        <v>0</v>
      </c>
      <c r="AI8" s="7">
        <f t="shared" si="3"/>
        <v>0</v>
      </c>
      <c r="AJ8" s="7">
        <f t="shared" si="3"/>
        <v>0</v>
      </c>
      <c r="AK8" s="7">
        <f t="shared" si="3"/>
        <v>0</v>
      </c>
      <c r="AL8" s="7">
        <f t="shared" si="3"/>
        <v>-0.3</v>
      </c>
      <c r="AM8" s="7">
        <f t="shared" si="3"/>
        <v>0.2</v>
      </c>
      <c r="AN8" s="7">
        <f t="shared" si="3"/>
        <v>0</v>
      </c>
      <c r="AO8" s="7">
        <f t="shared" si="3"/>
        <v>0</v>
      </c>
      <c r="AP8" s="7">
        <f t="shared" si="3"/>
        <v>0</v>
      </c>
      <c r="AQ8" s="7">
        <f t="shared" si="3"/>
        <v>0</v>
      </c>
      <c r="AR8" s="7">
        <f t="shared" si="3"/>
        <v>0</v>
      </c>
      <c r="AS8" s="7">
        <f t="shared" si="3"/>
        <v>0</v>
      </c>
      <c r="AT8" s="7">
        <f t="shared" si="3"/>
        <v>0</v>
      </c>
      <c r="AU8" s="7">
        <f t="shared" si="3"/>
        <v>0</v>
      </c>
      <c r="AV8" s="7">
        <f t="shared" si="3"/>
        <v>0</v>
      </c>
      <c r="AW8" s="7">
        <f t="shared" si="3"/>
        <v>0</v>
      </c>
      <c r="AX8" s="7">
        <f t="shared" si="3"/>
        <v>0</v>
      </c>
      <c r="AY8" s="7">
        <f t="shared" si="3"/>
        <v>0</v>
      </c>
      <c r="AZ8" s="7">
        <f t="shared" si="3"/>
        <v>0</v>
      </c>
      <c r="BA8" s="7">
        <f t="shared" si="3"/>
        <v>0</v>
      </c>
      <c r="BB8" s="7">
        <f t="shared" si="3"/>
        <v>0</v>
      </c>
      <c r="BC8" s="7">
        <f t="shared" si="3"/>
        <v>0</v>
      </c>
      <c r="BD8" s="7">
        <f t="shared" si="3"/>
        <v>0</v>
      </c>
      <c r="BE8" s="7">
        <f t="shared" si="3"/>
        <v>0</v>
      </c>
      <c r="BF8" s="7">
        <f t="shared" si="3"/>
        <v>0</v>
      </c>
      <c r="BG8" s="7">
        <f t="shared" si="3"/>
        <v>0</v>
      </c>
      <c r="BH8" s="7">
        <f t="shared" si="3"/>
        <v>0</v>
      </c>
      <c r="BI8" s="7">
        <f t="shared" si="3"/>
        <v>0</v>
      </c>
      <c r="BJ8" s="7">
        <f t="shared" si="3"/>
        <v>0</v>
      </c>
      <c r="BK8" s="7">
        <f t="shared" si="3"/>
        <v>0</v>
      </c>
      <c r="BL8" s="7">
        <f t="shared" si="3"/>
        <v>0</v>
      </c>
      <c r="BM8" s="7">
        <f t="shared" si="3"/>
        <v>0</v>
      </c>
      <c r="BN8" s="7">
        <f t="shared" si="3"/>
        <v>0</v>
      </c>
      <c r="BO8" s="7">
        <f t="shared" si="3"/>
        <v>0</v>
      </c>
      <c r="BP8" s="7">
        <f t="shared" si="3"/>
        <v>0</v>
      </c>
      <c r="BQ8" s="7">
        <f t="shared" si="3"/>
        <v>-0.4</v>
      </c>
      <c r="BR8" s="7">
        <f t="shared" si="3"/>
        <v>0</v>
      </c>
      <c r="BS8" s="7">
        <f t="shared" si="3"/>
        <v>0</v>
      </c>
      <c r="BT8" s="7">
        <f t="shared" si="3"/>
        <v>0</v>
      </c>
      <c r="BU8" s="7">
        <f t="shared" si="3"/>
        <v>0</v>
      </c>
      <c r="BV8" s="7">
        <f t="shared" si="3"/>
        <v>0</v>
      </c>
      <c r="BW8" s="7">
        <f t="shared" si="3"/>
        <v>0</v>
      </c>
      <c r="BX8" s="7">
        <f t="shared" si="3"/>
        <v>0</v>
      </c>
      <c r="BY8" s="7">
        <f t="shared" si="3"/>
        <v>0</v>
      </c>
      <c r="BZ8" s="7">
        <f t="shared" si="3"/>
        <v>0</v>
      </c>
      <c r="CA8" s="7">
        <f t="shared" si="3"/>
        <v>0</v>
      </c>
      <c r="CB8" s="7">
        <f t="shared" si="3"/>
        <v>0</v>
      </c>
      <c r="CC8" s="7">
        <f t="shared" si="3"/>
        <v>0</v>
      </c>
      <c r="CD8" s="7">
        <f t="shared" si="3"/>
        <v>-1</v>
      </c>
      <c r="CK8" s="7"/>
      <c r="CL8" s="7"/>
      <c r="CM8" s="7"/>
    </row>
    <row r="9" ht="14.25" customHeight="1">
      <c r="A9" s="4" t="s">
        <v>143</v>
      </c>
      <c r="B9" s="14" t="s">
        <v>1</v>
      </c>
      <c r="C9" s="4" t="s">
        <v>144</v>
      </c>
      <c r="D9" s="4">
        <v>1.0</v>
      </c>
      <c r="E9" s="15">
        <f t="shared" ref="E9:E48" si="4">D9*$C$2</f>
        <v>2.490579492</v>
      </c>
      <c r="F9" s="15">
        <f t="shared" ref="F9:F48" si="5">SUMPRODUCT(H$6:CD$6,H9:CD9)</f>
        <v>3.245412573</v>
      </c>
      <c r="G9" s="15">
        <f t="shared" ref="G9:G48" si="6">F9-E9</f>
        <v>0.7548330802</v>
      </c>
      <c r="H9" s="16"/>
      <c r="R9" s="4">
        <v>0.8</v>
      </c>
      <c r="Y9" s="1">
        <v>1.0</v>
      </c>
      <c r="CD9" s="14"/>
    </row>
    <row r="10" ht="14.25" customHeight="1">
      <c r="A10" s="4" t="s">
        <v>145</v>
      </c>
      <c r="B10" s="14" t="s">
        <v>1</v>
      </c>
      <c r="C10" s="4" t="s">
        <v>144</v>
      </c>
      <c r="D10" s="4">
        <v>1.0</v>
      </c>
      <c r="E10" s="15">
        <f t="shared" si="4"/>
        <v>2.490579492</v>
      </c>
      <c r="F10" s="15">
        <f t="shared" si="5"/>
        <v>3.012277537</v>
      </c>
      <c r="G10" s="15">
        <f t="shared" si="6"/>
        <v>0.5216980444</v>
      </c>
      <c r="AJ10" s="17">
        <v>0.5</v>
      </c>
      <c r="AK10" s="1">
        <v>1.0</v>
      </c>
    </row>
    <row r="11" ht="14.25" customHeight="1">
      <c r="A11" s="4" t="s">
        <v>146</v>
      </c>
      <c r="B11" s="14" t="s">
        <v>8</v>
      </c>
      <c r="C11" s="4" t="s">
        <v>144</v>
      </c>
      <c r="D11" s="4">
        <v>1.0</v>
      </c>
      <c r="E11" s="15">
        <f t="shared" si="4"/>
        <v>2.490579492</v>
      </c>
      <c r="F11" s="15">
        <f t="shared" si="5"/>
        <v>2.916902333</v>
      </c>
      <c r="G11" s="15">
        <f t="shared" si="6"/>
        <v>0.426322841</v>
      </c>
      <c r="AE11" s="1">
        <v>0.5</v>
      </c>
      <c r="AN11" s="1">
        <v>1.0</v>
      </c>
      <c r="AO11" s="1">
        <v>1.0</v>
      </c>
      <c r="CD11" s="14"/>
    </row>
    <row r="12" ht="14.25" customHeight="1">
      <c r="A12" s="4" t="s">
        <v>147</v>
      </c>
      <c r="B12" s="14" t="s">
        <v>3</v>
      </c>
      <c r="C12" s="4" t="s">
        <v>144</v>
      </c>
      <c r="D12" s="4">
        <v>1.0</v>
      </c>
      <c r="E12" s="15">
        <f t="shared" si="4"/>
        <v>2.490579492</v>
      </c>
      <c r="F12" s="15">
        <f t="shared" si="5"/>
        <v>1.926935982</v>
      </c>
      <c r="G12" s="15">
        <f t="shared" si="6"/>
        <v>-0.5636435103</v>
      </c>
      <c r="Q12" s="4">
        <v>0.5</v>
      </c>
      <c r="BD12" s="1">
        <v>1.0</v>
      </c>
      <c r="BE12" s="1">
        <v>1.0</v>
      </c>
      <c r="CD12" s="14"/>
    </row>
    <row r="13" ht="14.25" customHeight="1">
      <c r="A13" s="4" t="s">
        <v>148</v>
      </c>
      <c r="B13" s="14" t="s">
        <v>9</v>
      </c>
      <c r="C13" s="4" t="s">
        <v>144</v>
      </c>
      <c r="D13" s="14">
        <v>1.0</v>
      </c>
      <c r="E13" s="15">
        <f t="shared" si="4"/>
        <v>2.490579492</v>
      </c>
      <c r="F13" s="15">
        <f t="shared" si="5"/>
        <v>2.802533495</v>
      </c>
      <c r="G13" s="15">
        <f t="shared" si="6"/>
        <v>0.3119540026</v>
      </c>
      <c r="M13" s="14"/>
      <c r="O13" s="14"/>
      <c r="T13" s="14"/>
      <c r="AH13" s="14"/>
      <c r="AI13" s="14"/>
      <c r="AL13" s="14"/>
      <c r="AM13" s="14"/>
      <c r="AP13" s="14"/>
      <c r="AQ13" s="14"/>
      <c r="BF13" s="14"/>
      <c r="BG13" s="14"/>
      <c r="BK13" s="14"/>
      <c r="BP13" s="14"/>
      <c r="BR13" s="14"/>
      <c r="BS13" s="14"/>
      <c r="BT13" s="17">
        <v>0.5</v>
      </c>
      <c r="BU13" s="14"/>
      <c r="BV13" s="14"/>
      <c r="BW13" s="14">
        <v>0.4</v>
      </c>
      <c r="BX13" s="14"/>
      <c r="BY13" s="14"/>
      <c r="BZ13" s="14"/>
      <c r="CA13" s="1">
        <v>1.0</v>
      </c>
      <c r="CB13" s="14"/>
      <c r="CC13" s="1">
        <v>1.0</v>
      </c>
      <c r="CD13" s="14"/>
      <c r="CK13" s="14"/>
    </row>
    <row r="14" ht="14.25" customHeight="1">
      <c r="A14" s="4" t="s">
        <v>149</v>
      </c>
      <c r="B14" s="14" t="s">
        <v>9</v>
      </c>
      <c r="C14" s="4" t="s">
        <v>144</v>
      </c>
      <c r="D14" s="4">
        <v>1.0</v>
      </c>
      <c r="E14" s="15">
        <f t="shared" si="4"/>
        <v>2.490579492</v>
      </c>
      <c r="F14" s="15">
        <f t="shared" si="5"/>
        <v>3.189632354</v>
      </c>
      <c r="G14" s="15">
        <f t="shared" si="6"/>
        <v>0.6990528619</v>
      </c>
      <c r="P14" s="4">
        <v>0.4</v>
      </c>
      <c r="AL14" s="17">
        <v>0.4</v>
      </c>
      <c r="AM14" s="17">
        <v>0.8</v>
      </c>
      <c r="BP14" s="17">
        <v>0.6</v>
      </c>
      <c r="CD14" s="14"/>
    </row>
    <row r="15" ht="14.25" customHeight="1">
      <c r="A15" s="4" t="s">
        <v>150</v>
      </c>
      <c r="B15" s="14" t="s">
        <v>8</v>
      </c>
      <c r="C15" s="4" t="s">
        <v>144</v>
      </c>
      <c r="D15" s="4">
        <v>1.0</v>
      </c>
      <c r="E15" s="15">
        <f t="shared" si="4"/>
        <v>2.490579492</v>
      </c>
      <c r="F15" s="15">
        <f t="shared" si="5"/>
        <v>2.488331578</v>
      </c>
      <c r="G15" s="15">
        <f t="shared" si="6"/>
        <v>-0.002247914838</v>
      </c>
      <c r="P15" s="18"/>
      <c r="AM15" s="4">
        <v>0.4</v>
      </c>
      <c r="AR15" s="1">
        <v>1.0</v>
      </c>
      <c r="AS15" s="1">
        <v>1.0</v>
      </c>
      <c r="CK15" s="14"/>
    </row>
    <row r="16" ht="14.25" customHeight="1">
      <c r="A16" s="4" t="s">
        <v>151</v>
      </c>
      <c r="B16" s="14" t="s">
        <v>2</v>
      </c>
      <c r="C16" s="4" t="s">
        <v>144</v>
      </c>
      <c r="D16" s="14">
        <v>1.0</v>
      </c>
      <c r="E16" s="15">
        <f t="shared" si="4"/>
        <v>2.490579492</v>
      </c>
      <c r="F16" s="15">
        <f t="shared" si="5"/>
        <v>2.66182101</v>
      </c>
      <c r="G16" s="15">
        <f t="shared" si="6"/>
        <v>0.1712415175</v>
      </c>
      <c r="M16" s="14"/>
      <c r="O16" s="14"/>
      <c r="T16" s="14"/>
      <c r="AH16" s="14"/>
      <c r="AI16" s="14"/>
      <c r="AL16" s="14"/>
      <c r="AM16" s="14"/>
      <c r="AP16" s="14"/>
      <c r="AQ16" s="14"/>
      <c r="BF16" s="14"/>
      <c r="BG16" s="14"/>
      <c r="BK16" s="14"/>
      <c r="BP16" s="18">
        <v>0.4</v>
      </c>
      <c r="BR16" s="14"/>
      <c r="BS16" s="14"/>
      <c r="BT16" s="14"/>
      <c r="BU16" s="14"/>
      <c r="BV16" s="1">
        <v>1.0</v>
      </c>
      <c r="BW16" s="14"/>
      <c r="BX16" s="1">
        <v>1.0</v>
      </c>
      <c r="BY16" s="14"/>
      <c r="BZ16" s="14"/>
      <c r="CA16" s="14"/>
      <c r="CB16" s="14"/>
      <c r="CC16" s="14"/>
      <c r="CD16" s="14"/>
    </row>
    <row r="17" ht="14.25" customHeight="1">
      <c r="A17" s="4" t="s">
        <v>152</v>
      </c>
      <c r="B17" s="14" t="s">
        <v>153</v>
      </c>
      <c r="C17" s="4" t="s">
        <v>144</v>
      </c>
      <c r="D17" s="4">
        <v>1.0</v>
      </c>
      <c r="E17" s="15">
        <f t="shared" si="4"/>
        <v>2.490579492</v>
      </c>
      <c r="F17" s="15">
        <f t="shared" si="5"/>
        <v>3.93305321</v>
      </c>
      <c r="G17" s="15">
        <f t="shared" si="6"/>
        <v>1.442473718</v>
      </c>
      <c r="W17" s="4">
        <v>1.0</v>
      </c>
      <c r="X17" s="4">
        <v>1.0</v>
      </c>
      <c r="AA17" s="1"/>
      <c r="AM17" s="18"/>
      <c r="AQ17" s="17"/>
      <c r="AW17" s="14"/>
      <c r="BK17" s="1">
        <v>1.0</v>
      </c>
      <c r="CD17" s="14"/>
      <c r="CK17" s="19"/>
    </row>
    <row r="18" ht="14.25" customHeight="1">
      <c r="A18" s="4" t="s">
        <v>154</v>
      </c>
      <c r="B18" s="14" t="s">
        <v>1</v>
      </c>
      <c r="C18" s="4" t="s">
        <v>144</v>
      </c>
      <c r="D18" s="4">
        <v>1.0</v>
      </c>
      <c r="E18" s="15">
        <f t="shared" si="4"/>
        <v>2.490579492</v>
      </c>
      <c r="F18" s="15">
        <f t="shared" si="5"/>
        <v>0.8</v>
      </c>
      <c r="G18" s="15">
        <f t="shared" si="6"/>
        <v>-1.690579492</v>
      </c>
      <c r="W18" s="1"/>
      <c r="X18" s="1"/>
      <c r="AA18" s="4">
        <v>1.0</v>
      </c>
      <c r="CD18" s="14"/>
    </row>
    <row r="19" ht="14.25" customHeight="1">
      <c r="A19" s="4" t="s">
        <v>155</v>
      </c>
      <c r="B19" s="14" t="s">
        <v>2</v>
      </c>
      <c r="C19" s="4" t="s">
        <v>144</v>
      </c>
      <c r="D19" s="4">
        <v>1.0</v>
      </c>
      <c r="E19" s="15">
        <f t="shared" si="4"/>
        <v>2.490579492</v>
      </c>
      <c r="F19" s="15">
        <f t="shared" si="5"/>
        <v>2.623230627</v>
      </c>
      <c r="G19" s="15">
        <f t="shared" si="6"/>
        <v>0.1326511348</v>
      </c>
      <c r="AH19" s="1">
        <v>0.5</v>
      </c>
      <c r="AI19" s="17">
        <v>1.0</v>
      </c>
      <c r="CD19" s="14"/>
    </row>
    <row r="20" ht="14.25" customHeight="1">
      <c r="A20" s="4" t="s">
        <v>156</v>
      </c>
      <c r="B20" s="14" t="s">
        <v>1</v>
      </c>
      <c r="C20" s="4" t="s">
        <v>144</v>
      </c>
      <c r="D20" s="4">
        <v>0.6</v>
      </c>
      <c r="E20" s="15">
        <f t="shared" si="4"/>
        <v>1.494347695</v>
      </c>
      <c r="F20" s="15">
        <f t="shared" si="5"/>
        <v>1.307122126</v>
      </c>
      <c r="G20" s="15">
        <f t="shared" si="6"/>
        <v>-0.1872255699</v>
      </c>
      <c r="M20" s="4">
        <v>0.7</v>
      </c>
      <c r="T20" s="4">
        <v>0.4</v>
      </c>
    </row>
    <row r="21" ht="14.25" customHeight="1">
      <c r="A21" s="4" t="s">
        <v>157</v>
      </c>
      <c r="B21" s="14" t="s">
        <v>3</v>
      </c>
      <c r="C21" s="4" t="s">
        <v>144</v>
      </c>
      <c r="D21" s="4">
        <v>0.5</v>
      </c>
      <c r="E21" s="15">
        <f t="shared" si="4"/>
        <v>1.245289746</v>
      </c>
      <c r="F21" s="15">
        <f t="shared" si="5"/>
        <v>1.788669785</v>
      </c>
      <c r="G21" s="15">
        <f t="shared" si="6"/>
        <v>0.5433800392</v>
      </c>
      <c r="L21" s="4">
        <v>0.9</v>
      </c>
      <c r="M21" s="18"/>
      <c r="T21" s="18"/>
      <c r="BF21" s="17"/>
      <c r="BG21" s="17"/>
    </row>
    <row r="22" ht="14.25" customHeight="1">
      <c r="A22" s="4" t="s">
        <v>158</v>
      </c>
      <c r="B22" s="14" t="s">
        <v>3</v>
      </c>
      <c r="C22" s="4" t="s">
        <v>144</v>
      </c>
      <c r="D22" s="14">
        <v>0.4</v>
      </c>
      <c r="E22" s="15">
        <f t="shared" si="4"/>
        <v>0.996231797</v>
      </c>
      <c r="F22" s="15">
        <f t="shared" si="5"/>
        <v>1.028995973</v>
      </c>
      <c r="G22" s="15">
        <f t="shared" si="6"/>
        <v>0.0327641765</v>
      </c>
      <c r="M22" s="14"/>
      <c r="O22" s="14"/>
      <c r="T22" s="14"/>
      <c r="AH22" s="14">
        <v>0.5</v>
      </c>
      <c r="AI22" s="14"/>
      <c r="AJ22" s="14"/>
      <c r="AL22" s="14"/>
      <c r="AM22" s="14"/>
      <c r="AP22" s="14"/>
      <c r="AQ22" s="14"/>
      <c r="BF22" s="14"/>
      <c r="BG22" s="14"/>
      <c r="BK22" s="14"/>
      <c r="BP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</row>
    <row r="23" ht="14.25" customHeight="1">
      <c r="A23" s="4" t="s">
        <v>159</v>
      </c>
      <c r="B23" s="14" t="s">
        <v>160</v>
      </c>
      <c r="C23" s="4" t="s">
        <v>144</v>
      </c>
      <c r="D23" s="4">
        <v>1.5</v>
      </c>
      <c r="E23" s="15">
        <f t="shared" si="4"/>
        <v>3.735869239</v>
      </c>
      <c r="F23" s="15">
        <f t="shared" si="5"/>
        <v>3.81057698</v>
      </c>
      <c r="G23" s="15">
        <f t="shared" si="6"/>
        <v>0.07470774116</v>
      </c>
      <c r="AT23" s="1">
        <v>1.0</v>
      </c>
      <c r="AU23" s="1">
        <v>1.0</v>
      </c>
      <c r="AX23" s="1">
        <v>1.0</v>
      </c>
      <c r="AY23" s="1">
        <v>1.0</v>
      </c>
      <c r="AZ23" s="17">
        <v>0.8</v>
      </c>
      <c r="BA23" s="1">
        <v>1.0</v>
      </c>
      <c r="CD23" s="14"/>
    </row>
    <row r="24" ht="14.25" customHeight="1">
      <c r="A24" s="4" t="s">
        <v>161</v>
      </c>
      <c r="B24" s="14" t="s">
        <v>15</v>
      </c>
      <c r="C24" s="4" t="s">
        <v>144</v>
      </c>
      <c r="D24" s="4">
        <v>0.0</v>
      </c>
      <c r="E24" s="15">
        <f t="shared" si="4"/>
        <v>0</v>
      </c>
      <c r="F24" s="15">
        <f t="shared" si="5"/>
        <v>0</v>
      </c>
      <c r="G24" s="15">
        <f t="shared" si="6"/>
        <v>0</v>
      </c>
      <c r="CD24" s="14"/>
    </row>
    <row r="25" ht="14.25" customHeight="1">
      <c r="A25" s="4" t="s">
        <v>162</v>
      </c>
      <c r="B25" s="14" t="s">
        <v>2</v>
      </c>
      <c r="C25" s="4" t="s">
        <v>144</v>
      </c>
      <c r="D25" s="4">
        <v>0.0</v>
      </c>
      <c r="E25" s="15">
        <f t="shared" si="4"/>
        <v>0</v>
      </c>
      <c r="F25" s="15">
        <f t="shared" si="5"/>
        <v>0</v>
      </c>
      <c r="G25" s="15">
        <f t="shared" si="6"/>
        <v>0</v>
      </c>
      <c r="CD25" s="14"/>
      <c r="CK25" s="14"/>
    </row>
    <row r="26" ht="14.25" customHeight="1">
      <c r="A26" s="4" t="s">
        <v>163</v>
      </c>
      <c r="B26" s="14" t="s">
        <v>14</v>
      </c>
      <c r="C26" s="4" t="s">
        <v>144</v>
      </c>
      <c r="D26" s="14">
        <v>0.0</v>
      </c>
      <c r="E26" s="15">
        <f t="shared" si="4"/>
        <v>0</v>
      </c>
      <c r="F26" s="15">
        <f t="shared" si="5"/>
        <v>0</v>
      </c>
      <c r="G26" s="15">
        <f t="shared" si="6"/>
        <v>0</v>
      </c>
      <c r="M26" s="14"/>
      <c r="O26" s="14"/>
      <c r="T26" s="14"/>
      <c r="AH26" s="14"/>
      <c r="AI26" s="14"/>
      <c r="AL26" s="14"/>
      <c r="AM26" s="14"/>
      <c r="AP26" s="14"/>
      <c r="AQ26" s="14"/>
      <c r="BF26" s="14"/>
      <c r="BG26" s="14"/>
      <c r="BK26" s="14"/>
      <c r="BP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K26" s="14"/>
    </row>
    <row r="27" ht="14.25" customHeight="1">
      <c r="A27" s="4" t="s">
        <v>164</v>
      </c>
      <c r="B27" s="14" t="s">
        <v>3</v>
      </c>
      <c r="C27" s="4" t="s">
        <v>144</v>
      </c>
      <c r="D27" s="4">
        <v>0.6</v>
      </c>
      <c r="E27" s="15">
        <f t="shared" si="4"/>
        <v>1.494347695</v>
      </c>
      <c r="F27" s="15">
        <f t="shared" si="5"/>
        <v>1.500285201</v>
      </c>
      <c r="G27" s="15">
        <f t="shared" si="6"/>
        <v>0.00593750533</v>
      </c>
      <c r="T27" s="17"/>
      <c r="BF27" s="17"/>
      <c r="BG27" s="17"/>
      <c r="BR27" s="18">
        <v>0.4</v>
      </c>
      <c r="BS27" s="18">
        <v>0.4</v>
      </c>
      <c r="BT27" s="18"/>
      <c r="BU27" s="18">
        <v>0.4</v>
      </c>
      <c r="CK27" s="20"/>
    </row>
    <row r="28" ht="14.25" customHeight="1">
      <c r="A28" s="4" t="s">
        <v>165</v>
      </c>
      <c r="B28" s="14" t="s">
        <v>1</v>
      </c>
      <c r="C28" s="4" t="s">
        <v>144</v>
      </c>
      <c r="D28" s="4">
        <v>0.5</v>
      </c>
      <c r="E28" s="15">
        <f t="shared" si="4"/>
        <v>1.245289746</v>
      </c>
      <c r="F28" s="15">
        <f t="shared" si="5"/>
        <v>1.242434342</v>
      </c>
      <c r="G28" s="15">
        <f t="shared" si="6"/>
        <v>-0.002855404109</v>
      </c>
      <c r="T28" s="17"/>
      <c r="AL28" s="18">
        <v>0.3</v>
      </c>
      <c r="BF28" s="18">
        <v>0.3</v>
      </c>
      <c r="BG28" s="18">
        <v>0.4</v>
      </c>
    </row>
    <row r="29" ht="14.25" customHeight="1">
      <c r="A29" s="4" t="s">
        <v>166</v>
      </c>
      <c r="B29" s="14" t="s">
        <v>1</v>
      </c>
      <c r="C29" s="4" t="s">
        <v>144</v>
      </c>
      <c r="D29" s="4">
        <v>1.0</v>
      </c>
      <c r="E29" s="15">
        <f t="shared" si="4"/>
        <v>2.490579492</v>
      </c>
      <c r="F29" s="15">
        <f t="shared" si="5"/>
        <v>2.5090021</v>
      </c>
      <c r="G29" s="15">
        <f t="shared" si="6"/>
        <v>0.01842260789</v>
      </c>
      <c r="AE29" s="18">
        <v>0.5</v>
      </c>
      <c r="AF29" s="4">
        <v>1.0</v>
      </c>
      <c r="AG29" s="14"/>
      <c r="BQ29" s="17">
        <v>0.6</v>
      </c>
      <c r="CD29" s="14"/>
      <c r="CK29" s="14"/>
    </row>
    <row r="30" ht="14.25" customHeight="1">
      <c r="A30" s="4" t="s">
        <v>167</v>
      </c>
      <c r="B30" s="14" t="s">
        <v>1</v>
      </c>
      <c r="C30" s="4" t="s">
        <v>144</v>
      </c>
      <c r="D30" s="4">
        <v>1.0</v>
      </c>
      <c r="E30" s="15">
        <f t="shared" si="4"/>
        <v>2.490579492</v>
      </c>
      <c r="F30" s="15">
        <f t="shared" si="5"/>
        <v>2.500913203</v>
      </c>
      <c r="G30" s="15">
        <f t="shared" si="6"/>
        <v>0.01033371071</v>
      </c>
      <c r="BT30" s="18">
        <v>0.5</v>
      </c>
      <c r="BY30" s="1">
        <v>1.0</v>
      </c>
      <c r="CB30" s="1">
        <v>1.0</v>
      </c>
      <c r="CD30" s="14"/>
    </row>
    <row r="31" ht="14.25" customHeight="1">
      <c r="A31" s="4" t="s">
        <v>168</v>
      </c>
      <c r="B31" s="14" t="s">
        <v>8</v>
      </c>
      <c r="C31" s="4" t="s">
        <v>144</v>
      </c>
      <c r="D31" s="4">
        <v>0.6</v>
      </c>
      <c r="E31" s="15">
        <f t="shared" si="4"/>
        <v>1.494347695</v>
      </c>
      <c r="F31" s="15">
        <f t="shared" si="5"/>
        <v>1.48465938</v>
      </c>
      <c r="G31" s="15">
        <f t="shared" si="6"/>
        <v>-0.009688315848</v>
      </c>
      <c r="S31" s="18">
        <v>0.5</v>
      </c>
      <c r="AC31" s="4">
        <v>0.4</v>
      </c>
      <c r="AE31" s="14"/>
      <c r="CK31" s="14"/>
    </row>
    <row r="32" ht="14.25" customHeight="1">
      <c r="A32" s="4" t="s">
        <v>169</v>
      </c>
      <c r="B32" s="14" t="s">
        <v>3</v>
      </c>
      <c r="C32" s="4" t="s">
        <v>144</v>
      </c>
      <c r="D32" s="4">
        <v>1.0</v>
      </c>
      <c r="E32" s="15">
        <f t="shared" si="4"/>
        <v>2.490579492</v>
      </c>
      <c r="F32" s="15">
        <f t="shared" si="5"/>
        <v>2.463785364</v>
      </c>
      <c r="G32" s="15">
        <f t="shared" si="6"/>
        <v>-0.02679412889</v>
      </c>
      <c r="H32" s="17">
        <v>0.6</v>
      </c>
      <c r="I32" s="1">
        <v>0.5</v>
      </c>
      <c r="R32" s="4">
        <v>0.2</v>
      </c>
      <c r="CD32" s="14"/>
      <c r="CK32" s="14"/>
    </row>
    <row r="33" ht="14.25" customHeight="1">
      <c r="A33" s="4" t="s">
        <v>170</v>
      </c>
      <c r="B33" s="14" t="s">
        <v>9</v>
      </c>
      <c r="C33" s="4" t="s">
        <v>144</v>
      </c>
      <c r="D33" s="4">
        <v>1.0</v>
      </c>
      <c r="E33" s="15">
        <f t="shared" si="4"/>
        <v>2.490579492</v>
      </c>
      <c r="F33" s="15">
        <f t="shared" si="5"/>
        <v>2.451601329</v>
      </c>
      <c r="G33" s="15">
        <f t="shared" si="6"/>
        <v>-0.03897816383</v>
      </c>
      <c r="AZ33" s="18">
        <v>0.2</v>
      </c>
      <c r="BI33" s="1">
        <v>1.0</v>
      </c>
      <c r="BN33" s="1">
        <v>1.0</v>
      </c>
      <c r="CD33" s="14"/>
      <c r="CK33" s="14"/>
    </row>
    <row r="34" ht="14.25" customHeight="1">
      <c r="A34" s="4" t="s">
        <v>171</v>
      </c>
      <c r="B34" s="14" t="s">
        <v>9</v>
      </c>
      <c r="C34" s="4" t="s">
        <v>144</v>
      </c>
      <c r="D34" s="4">
        <v>1.0</v>
      </c>
      <c r="E34" s="15">
        <f t="shared" si="4"/>
        <v>2.490579492</v>
      </c>
      <c r="F34" s="15">
        <f t="shared" si="5"/>
        <v>2.451423871</v>
      </c>
      <c r="G34" s="15">
        <f t="shared" si="6"/>
        <v>-0.0391556211</v>
      </c>
      <c r="S34" s="1">
        <v>0.5</v>
      </c>
      <c r="AC34" s="4">
        <v>0.6</v>
      </c>
      <c r="AV34" s="4">
        <v>0.5</v>
      </c>
      <c r="AW34" s="1">
        <v>0.5</v>
      </c>
      <c r="CK34" s="14"/>
    </row>
    <row r="35" ht="14.25" customHeight="1">
      <c r="A35" s="4" t="s">
        <v>172</v>
      </c>
      <c r="B35" s="14" t="s">
        <v>8</v>
      </c>
      <c r="C35" s="4" t="s">
        <v>144</v>
      </c>
      <c r="D35" s="4">
        <v>0.8</v>
      </c>
      <c r="E35" s="15">
        <f t="shared" si="4"/>
        <v>1.992463594</v>
      </c>
      <c r="F35" s="15">
        <f t="shared" si="5"/>
        <v>1.930015803</v>
      </c>
      <c r="G35" s="15">
        <f t="shared" si="6"/>
        <v>-0.06244779102</v>
      </c>
      <c r="BR35" s="17">
        <v>0.6</v>
      </c>
      <c r="BS35" s="17">
        <v>0.4</v>
      </c>
      <c r="BT35" s="18"/>
      <c r="BU35" s="17">
        <v>0.6</v>
      </c>
    </row>
    <row r="36" ht="14.25" customHeight="1">
      <c r="A36" s="4" t="s">
        <v>173</v>
      </c>
      <c r="B36" s="14" t="s">
        <v>2</v>
      </c>
      <c r="C36" s="4" t="s">
        <v>144</v>
      </c>
      <c r="D36" s="4">
        <v>1.0</v>
      </c>
      <c r="E36" s="15">
        <f t="shared" si="4"/>
        <v>2.490579492</v>
      </c>
      <c r="F36" s="15">
        <f t="shared" si="5"/>
        <v>1.634795168</v>
      </c>
      <c r="G36" s="15">
        <f t="shared" si="6"/>
        <v>-0.8557843243</v>
      </c>
      <c r="AL36" s="17"/>
      <c r="AP36" s="17">
        <v>0.6</v>
      </c>
      <c r="AQ36" s="17"/>
      <c r="BJ36" s="1">
        <v>1.0</v>
      </c>
      <c r="CD36" s="14"/>
    </row>
    <row r="37" ht="14.25" customHeight="1">
      <c r="A37" s="4" t="s">
        <v>174</v>
      </c>
      <c r="B37" s="14" t="s">
        <v>153</v>
      </c>
      <c r="C37" s="4" t="s">
        <v>144</v>
      </c>
      <c r="D37" s="4">
        <v>0.5</v>
      </c>
      <c r="E37" s="15">
        <f t="shared" si="4"/>
        <v>1.245289746</v>
      </c>
      <c r="F37" s="15">
        <f t="shared" si="5"/>
        <v>1.164139077</v>
      </c>
      <c r="G37" s="15">
        <f t="shared" si="6"/>
        <v>-0.08115066924</v>
      </c>
      <c r="J37" s="1">
        <v>1.0</v>
      </c>
      <c r="CD37" s="14"/>
    </row>
    <row r="38" ht="14.25" customHeight="1">
      <c r="A38" s="4" t="s">
        <v>175</v>
      </c>
      <c r="B38" s="14" t="s">
        <v>1</v>
      </c>
      <c r="C38" s="4" t="s">
        <v>144</v>
      </c>
      <c r="D38" s="4">
        <v>1.0</v>
      </c>
      <c r="E38" s="15">
        <f t="shared" si="4"/>
        <v>2.490579492</v>
      </c>
      <c r="F38" s="15">
        <f t="shared" si="5"/>
        <v>2.419074278</v>
      </c>
      <c r="G38" s="15">
        <f t="shared" si="6"/>
        <v>-0.07150521486</v>
      </c>
      <c r="I38" s="4">
        <v>0.5</v>
      </c>
      <c r="Z38" s="1">
        <v>1.0</v>
      </c>
      <c r="AE38" s="14"/>
      <c r="BO38" s="1">
        <v>1.0</v>
      </c>
      <c r="CK38" s="14"/>
    </row>
    <row r="39" ht="14.25" customHeight="1">
      <c r="A39" s="4" t="s">
        <v>176</v>
      </c>
      <c r="B39" s="14" t="s">
        <v>2</v>
      </c>
      <c r="C39" s="4" t="s">
        <v>144</v>
      </c>
      <c r="D39" s="4">
        <v>1.0</v>
      </c>
      <c r="E39" s="15">
        <f t="shared" si="4"/>
        <v>2.490579492</v>
      </c>
      <c r="F39" s="15">
        <f t="shared" si="5"/>
        <v>2.414241936</v>
      </c>
      <c r="G39" s="15">
        <f t="shared" si="6"/>
        <v>-0.07633755634</v>
      </c>
      <c r="U39" s="1">
        <v>1.0</v>
      </c>
      <c r="AE39" s="21"/>
      <c r="AP39" s="18">
        <v>0.4</v>
      </c>
      <c r="AQ39" s="17">
        <v>1.0</v>
      </c>
      <c r="CD39" s="14"/>
    </row>
    <row r="40" ht="14.25" customHeight="1">
      <c r="A40" s="4" t="s">
        <v>177</v>
      </c>
      <c r="B40" s="14" t="s">
        <v>1</v>
      </c>
      <c r="C40" s="4" t="s">
        <v>144</v>
      </c>
      <c r="D40" s="4">
        <v>1.0</v>
      </c>
      <c r="E40" s="15">
        <f t="shared" si="4"/>
        <v>2.490579492</v>
      </c>
      <c r="F40" s="15">
        <f t="shared" si="5"/>
        <v>2.288655441</v>
      </c>
      <c r="G40" s="15">
        <f t="shared" si="6"/>
        <v>-0.2019240517</v>
      </c>
      <c r="O40" s="1">
        <v>0.5</v>
      </c>
      <c r="AB40" s="17">
        <v>1.0</v>
      </c>
      <c r="AE40" s="14"/>
      <c r="AM40" s="17"/>
      <c r="CD40" s="14"/>
    </row>
    <row r="41" ht="14.25" customHeight="1">
      <c r="A41" s="4" t="s">
        <v>178</v>
      </c>
      <c r="B41" s="14" t="s">
        <v>3</v>
      </c>
      <c r="C41" s="4" t="s">
        <v>144</v>
      </c>
      <c r="D41" s="4">
        <v>1.0</v>
      </c>
      <c r="E41" s="15">
        <f t="shared" si="4"/>
        <v>2.490579492</v>
      </c>
      <c r="F41" s="15">
        <f t="shared" si="5"/>
        <v>2.288440868</v>
      </c>
      <c r="G41" s="15">
        <f t="shared" si="6"/>
        <v>-0.2021386241</v>
      </c>
      <c r="BB41" s="1">
        <v>1.0</v>
      </c>
      <c r="BC41" s="1">
        <v>1.0</v>
      </c>
      <c r="BM41" s="1">
        <v>1.0</v>
      </c>
      <c r="CK41" s="14"/>
    </row>
    <row r="42" ht="14.25" customHeight="1">
      <c r="A42" s="4" t="s">
        <v>179</v>
      </c>
      <c r="B42" s="14" t="s">
        <v>3</v>
      </c>
      <c r="C42" s="4" t="s">
        <v>144</v>
      </c>
      <c r="D42" s="4">
        <v>1.0</v>
      </c>
      <c r="E42" s="15">
        <f t="shared" si="4"/>
        <v>2.490579492</v>
      </c>
      <c r="F42" s="15">
        <f t="shared" si="5"/>
        <v>2.259807691</v>
      </c>
      <c r="G42" s="15">
        <f t="shared" si="6"/>
        <v>-0.2307718016</v>
      </c>
      <c r="P42" s="14">
        <v>0.6</v>
      </c>
      <c r="AV42" s="1">
        <v>0.5</v>
      </c>
      <c r="AW42" s="14">
        <v>0.5</v>
      </c>
      <c r="BL42" s="4">
        <v>0.4</v>
      </c>
    </row>
    <row r="43" ht="14.25" customHeight="1">
      <c r="A43" s="4" t="s">
        <v>180</v>
      </c>
      <c r="B43" s="14" t="s">
        <v>160</v>
      </c>
      <c r="C43" s="4" t="s">
        <v>144</v>
      </c>
      <c r="D43" s="4">
        <v>1.0</v>
      </c>
      <c r="E43" s="15">
        <f t="shared" si="4"/>
        <v>2.490579492</v>
      </c>
      <c r="F43" s="15">
        <f t="shared" si="5"/>
        <v>2.251372303</v>
      </c>
      <c r="G43" s="15">
        <f t="shared" si="6"/>
        <v>-0.2392071897</v>
      </c>
      <c r="L43" s="1">
        <v>0.2</v>
      </c>
      <c r="AD43" s="1">
        <v>1.0</v>
      </c>
      <c r="BH43" s="4">
        <v>0.7</v>
      </c>
    </row>
    <row r="44" ht="14.25" customHeight="1">
      <c r="A44" s="4" t="s">
        <v>181</v>
      </c>
      <c r="B44" s="14" t="s">
        <v>15</v>
      </c>
      <c r="C44" s="4" t="s">
        <v>144</v>
      </c>
      <c r="D44" s="4">
        <v>1.0</v>
      </c>
      <c r="E44" s="15">
        <f t="shared" si="4"/>
        <v>2.490579492</v>
      </c>
      <c r="F44" s="15">
        <f t="shared" si="5"/>
        <v>2.245325593</v>
      </c>
      <c r="G44" s="15">
        <f t="shared" si="6"/>
        <v>-0.2452538993</v>
      </c>
      <c r="V44" s="17">
        <v>1.0</v>
      </c>
      <c r="BH44" s="4">
        <v>0.3</v>
      </c>
      <c r="BL44" s="1">
        <v>0.6</v>
      </c>
    </row>
    <row r="45" ht="14.25" customHeight="1">
      <c r="A45" s="4" t="s">
        <v>182</v>
      </c>
      <c r="B45" s="14" t="s">
        <v>2</v>
      </c>
      <c r="C45" s="4" t="s">
        <v>144</v>
      </c>
      <c r="D45" s="14">
        <v>1.0</v>
      </c>
      <c r="E45" s="15">
        <f t="shared" si="4"/>
        <v>2.490579492</v>
      </c>
      <c r="F45" s="15">
        <f t="shared" si="5"/>
        <v>1.43305321</v>
      </c>
      <c r="G45" s="15">
        <f t="shared" si="6"/>
        <v>-1.057526282</v>
      </c>
      <c r="N45" s="1">
        <v>1.0</v>
      </c>
      <c r="AJ45" s="18">
        <v>0.5</v>
      </c>
      <c r="AK45" s="18"/>
      <c r="CD45" s="14"/>
    </row>
    <row r="46" ht="14.25" customHeight="1">
      <c r="A46" s="4" t="s">
        <v>183</v>
      </c>
      <c r="B46" s="14" t="s">
        <v>14</v>
      </c>
      <c r="C46" s="4" t="s">
        <v>144</v>
      </c>
      <c r="D46" s="14">
        <v>1.0</v>
      </c>
      <c r="E46" s="15">
        <f t="shared" si="4"/>
        <v>2.490579492</v>
      </c>
      <c r="F46" s="15">
        <f t="shared" si="5"/>
        <v>2.216520192</v>
      </c>
      <c r="G46" s="15">
        <f t="shared" si="6"/>
        <v>-0.2740593008</v>
      </c>
      <c r="H46" s="18">
        <v>0.4</v>
      </c>
      <c r="M46" s="14"/>
      <c r="O46" s="14">
        <v>0.5</v>
      </c>
      <c r="T46" s="14"/>
      <c r="AH46" s="14"/>
      <c r="AI46" s="14"/>
      <c r="AL46" s="14"/>
      <c r="AM46" s="14"/>
      <c r="BF46" s="14"/>
      <c r="BG46" s="14"/>
      <c r="BK46" s="14"/>
      <c r="BP46" s="14"/>
      <c r="BR46" s="14"/>
      <c r="BS46" s="14"/>
      <c r="BT46" s="14"/>
      <c r="BU46" s="14"/>
      <c r="BV46" s="14"/>
      <c r="BW46" s="1">
        <v>0.6</v>
      </c>
      <c r="BX46" s="14"/>
      <c r="BY46" s="14"/>
      <c r="BZ46" s="14"/>
      <c r="CA46" s="14"/>
      <c r="CB46" s="14"/>
      <c r="CC46" s="14"/>
      <c r="CD46" s="14"/>
    </row>
    <row r="47" ht="14.25" customHeight="1">
      <c r="A47" s="4" t="s">
        <v>184</v>
      </c>
      <c r="B47" s="14" t="s">
        <v>3</v>
      </c>
      <c r="C47" s="4" t="s">
        <v>144</v>
      </c>
      <c r="D47" s="4">
        <v>1.0</v>
      </c>
      <c r="E47" s="15">
        <f t="shared" si="4"/>
        <v>2.490579492</v>
      </c>
      <c r="F47" s="15">
        <f t="shared" si="5"/>
        <v>1.174283963</v>
      </c>
      <c r="G47" s="15">
        <f t="shared" si="6"/>
        <v>-1.31629553</v>
      </c>
      <c r="BS47" s="18">
        <v>0.2</v>
      </c>
      <c r="BZ47" s="1">
        <v>1.0</v>
      </c>
      <c r="CD47" s="1"/>
    </row>
    <row r="48" ht="14.25" customHeight="1">
      <c r="A48" s="4" t="s">
        <v>185</v>
      </c>
      <c r="B48" s="14" t="s">
        <v>1</v>
      </c>
      <c r="C48" s="4" t="s">
        <v>144</v>
      </c>
      <c r="D48" s="4">
        <v>1.0</v>
      </c>
      <c r="E48" s="15">
        <f t="shared" si="4"/>
        <v>2.490579492</v>
      </c>
      <c r="F48" s="15">
        <f t="shared" si="5"/>
        <v>2.264069786</v>
      </c>
      <c r="G48" s="15">
        <f t="shared" si="6"/>
        <v>-0.2265097064</v>
      </c>
      <c r="M48" s="17">
        <v>0.4</v>
      </c>
      <c r="T48" s="17">
        <v>0.5</v>
      </c>
      <c r="BF48" s="17">
        <v>0.7</v>
      </c>
      <c r="BG48" s="17">
        <v>0.6</v>
      </c>
      <c r="CD48" s="14"/>
    </row>
    <row r="49" ht="14.25" customHeight="1">
      <c r="A49" s="22"/>
      <c r="E49" s="15"/>
      <c r="F49" s="15"/>
      <c r="G49" s="15"/>
    </row>
    <row r="50" ht="14.25" customHeight="1">
      <c r="A50" s="1" t="str">
        <f>TEXT(COUNTA(A9:A49),"0")&amp;" bodies"</f>
        <v>40 bodies</v>
      </c>
      <c r="B50" s="1"/>
      <c r="C50" s="1" t="s">
        <v>186</v>
      </c>
      <c r="D50" s="1">
        <f>SUM(D9:D49)</f>
        <v>34</v>
      </c>
    </row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conditionalFormatting sqref="U8:V8">
    <cfRule type="expression" dxfId="0" priority="1">
      <formula>U8&lt;0</formula>
    </cfRule>
  </conditionalFormatting>
  <conditionalFormatting sqref="U8:V8">
    <cfRule type="expression" dxfId="1" priority="2">
      <formula>U8&gt;0</formula>
    </cfRule>
  </conditionalFormatting>
  <conditionalFormatting sqref="W8:X8">
    <cfRule type="expression" dxfId="0" priority="3">
      <formula>W8&lt;0</formula>
    </cfRule>
  </conditionalFormatting>
  <conditionalFormatting sqref="W8:X8">
    <cfRule type="expression" dxfId="1" priority="4">
      <formula>W8&gt;0</formula>
    </cfRule>
  </conditionalFormatting>
  <conditionalFormatting sqref="Z8:AA8">
    <cfRule type="expression" dxfId="0" priority="5">
      <formula>Z8&lt;0</formula>
    </cfRule>
  </conditionalFormatting>
  <conditionalFormatting sqref="Z8:AA8">
    <cfRule type="expression" dxfId="1" priority="6">
      <formula>Z8&gt;0</formula>
    </cfRule>
  </conditionalFormatting>
  <conditionalFormatting sqref="AD8">
    <cfRule type="expression" dxfId="0" priority="7">
      <formula>AD8&lt;0</formula>
    </cfRule>
  </conditionalFormatting>
  <conditionalFormatting sqref="AD8">
    <cfRule type="expression" dxfId="1" priority="8">
      <formula>AD8&gt;0</formula>
    </cfRule>
  </conditionalFormatting>
  <conditionalFormatting sqref="AE8">
    <cfRule type="expression" dxfId="0" priority="9">
      <formula>AE8&lt;0</formula>
    </cfRule>
  </conditionalFormatting>
  <conditionalFormatting sqref="AE8">
    <cfRule type="expression" dxfId="1" priority="10">
      <formula>AE8&gt;0</formula>
    </cfRule>
  </conditionalFormatting>
  <conditionalFormatting sqref="AG8">
    <cfRule type="expression" dxfId="0" priority="11">
      <formula>AG8&lt;0</formula>
    </cfRule>
  </conditionalFormatting>
  <conditionalFormatting sqref="AG8">
    <cfRule type="expression" dxfId="1" priority="12">
      <formula>AG8&gt;0</formula>
    </cfRule>
  </conditionalFormatting>
  <conditionalFormatting sqref="BE8">
    <cfRule type="expression" dxfId="0" priority="13">
      <formula>BE8&lt;0</formula>
    </cfRule>
  </conditionalFormatting>
  <conditionalFormatting sqref="BE8">
    <cfRule type="expression" dxfId="1" priority="14">
      <formula>BE8&gt;0</formula>
    </cfRule>
  </conditionalFormatting>
  <conditionalFormatting sqref="BF8">
    <cfRule type="expression" dxfId="0" priority="15">
      <formula>BF8&lt;0</formula>
    </cfRule>
  </conditionalFormatting>
  <conditionalFormatting sqref="BF8">
    <cfRule type="expression" dxfId="1" priority="16">
      <formula>BF8&gt;0</formula>
    </cfRule>
  </conditionalFormatting>
  <conditionalFormatting sqref="BV8:BW8">
    <cfRule type="expression" dxfId="0" priority="17">
      <formula>BV8&lt;0</formula>
    </cfRule>
  </conditionalFormatting>
  <conditionalFormatting sqref="BV8:BW8">
    <cfRule type="expression" dxfId="1" priority="18">
      <formula>BV8&gt;0</formula>
    </cfRule>
  </conditionalFormatting>
  <conditionalFormatting sqref="BX8">
    <cfRule type="expression" dxfId="0" priority="19">
      <formula>BX8&lt;0</formula>
    </cfRule>
  </conditionalFormatting>
  <conditionalFormatting sqref="BX8">
    <cfRule type="expression" dxfId="1" priority="20">
      <formula>BX8&gt;0</formula>
    </cfRule>
  </conditionalFormatting>
  <conditionalFormatting sqref="G19">
    <cfRule type="colorScale" priority="21">
      <colorScale>
        <cfvo type="formula" val="-1.5"/>
        <cfvo type="formula" val="0"/>
        <cfvo type="formula" val="1.5"/>
        <color rgb="FFFF0000"/>
        <color theme="0"/>
        <color rgb="FF00B050"/>
      </colorScale>
    </cfRule>
  </conditionalFormatting>
  <conditionalFormatting sqref="G21">
    <cfRule type="colorScale" priority="22">
      <colorScale>
        <cfvo type="formula" val="-1.5"/>
        <cfvo type="formula" val="0"/>
        <cfvo type="formula" val="1.5"/>
        <color rgb="FFFF0000"/>
        <color theme="0"/>
        <color rgb="FF00B050"/>
      </colorScale>
    </cfRule>
  </conditionalFormatting>
  <conditionalFormatting sqref="G40">
    <cfRule type="colorScale" priority="23">
      <colorScale>
        <cfvo type="formula" val="-1.5"/>
        <cfvo type="formula" val="0"/>
        <cfvo type="formula" val="1.5"/>
        <color rgb="FFFF0000"/>
        <color theme="0"/>
        <color rgb="FF00B050"/>
      </colorScale>
    </cfRule>
  </conditionalFormatting>
  <conditionalFormatting sqref="G41">
    <cfRule type="colorScale" priority="24">
      <colorScale>
        <cfvo type="formula" val="-1.5"/>
        <cfvo type="formula" val="0"/>
        <cfvo type="formula" val="1.5"/>
        <color rgb="FFFF0000"/>
        <color theme="0"/>
        <color rgb="FF00B050"/>
      </colorScale>
    </cfRule>
  </conditionalFormatting>
  <conditionalFormatting sqref="G42">
    <cfRule type="colorScale" priority="25">
      <colorScale>
        <cfvo type="formula" val="-1.5"/>
        <cfvo type="formula" val="0"/>
        <cfvo type="formula" val="1.5"/>
        <color rgb="FFFF0000"/>
        <color theme="0"/>
        <color rgb="FF00B050"/>
      </colorScale>
    </cfRule>
  </conditionalFormatting>
  <conditionalFormatting sqref="G43">
    <cfRule type="colorScale" priority="26">
      <colorScale>
        <cfvo type="formula" val="-1.5"/>
        <cfvo type="formula" val="0"/>
        <cfvo type="formula" val="1.5"/>
        <color rgb="FFFF0000"/>
        <color theme="0"/>
        <color rgb="FF00B050"/>
      </colorScale>
    </cfRule>
  </conditionalFormatting>
  <conditionalFormatting sqref="G44">
    <cfRule type="colorScale" priority="27">
      <colorScale>
        <cfvo type="formula" val="-1.5"/>
        <cfvo type="formula" val="0"/>
        <cfvo type="formula" val="1.5"/>
        <color rgb="FFFF0000"/>
        <color theme="0"/>
        <color rgb="FF00B050"/>
      </colorScale>
    </cfRule>
  </conditionalFormatting>
  <conditionalFormatting sqref="G45">
    <cfRule type="colorScale" priority="28">
      <colorScale>
        <cfvo type="formula" val="-1.5"/>
        <cfvo type="formula" val="0"/>
        <cfvo type="formula" val="1.5"/>
        <color rgb="FFFF0000"/>
        <color theme="0"/>
        <color rgb="FF00B050"/>
      </colorScale>
    </cfRule>
  </conditionalFormatting>
  <conditionalFormatting sqref="G46">
    <cfRule type="colorScale" priority="29">
      <colorScale>
        <cfvo type="formula" val="-1.5"/>
        <cfvo type="formula" val="0"/>
        <cfvo type="formula" val="1.5"/>
        <color rgb="FFFF0000"/>
        <color theme="0"/>
        <color rgb="FF00B050"/>
      </colorScale>
    </cfRule>
  </conditionalFormatting>
  <conditionalFormatting sqref="G47">
    <cfRule type="colorScale" priority="30">
      <colorScale>
        <cfvo type="formula" val="-1.5"/>
        <cfvo type="formula" val="0"/>
        <cfvo type="formula" val="1.5"/>
        <color rgb="FFFF0000"/>
        <color theme="0"/>
        <color rgb="FF00B050"/>
      </colorScale>
    </cfRule>
  </conditionalFormatting>
  <conditionalFormatting sqref="G48">
    <cfRule type="colorScale" priority="31">
      <colorScale>
        <cfvo type="formula" val="-1.5"/>
        <cfvo type="formula" val="0"/>
        <cfvo type="formula" val="1.5"/>
        <color rgb="FFFF0000"/>
        <color theme="0"/>
        <color rgb="FF00B050"/>
      </colorScale>
    </cfRule>
  </conditionalFormatting>
  <conditionalFormatting sqref="H8:T8 Y8 AB8:AC8 AF8 AH8:BD8 BG8:BU8 BY8:CB8 CK8:CL8">
    <cfRule type="expression" dxfId="0" priority="32">
      <formula>H8&lt;0</formula>
    </cfRule>
  </conditionalFormatting>
  <conditionalFormatting sqref="H8:T8 Y8 AB8:AC8 AF8 AH8:BD8 BG8:BU8 BY8:CB8 CK8:CL8">
    <cfRule type="expression" dxfId="1" priority="33">
      <formula>H8&gt;0</formula>
    </cfRule>
  </conditionalFormatting>
  <conditionalFormatting sqref="CB8:CD8 CM8">
    <cfRule type="expression" dxfId="0" priority="34">
      <formula>CB8&lt;0</formula>
    </cfRule>
  </conditionalFormatting>
  <conditionalFormatting sqref="CB8:CD8 CM8">
    <cfRule type="expression" dxfId="1" priority="35">
      <formula>CB8&gt;0</formula>
    </cfRule>
  </conditionalFormatting>
  <conditionalFormatting sqref="G9:G18 G20 G22:G39 G49">
    <cfRule type="colorScale" priority="36">
      <colorScale>
        <cfvo type="formula" val="-1.5"/>
        <cfvo type="formula" val="0"/>
        <cfvo type="formula" val="1.5"/>
        <color rgb="FFFF0000"/>
        <color theme="0"/>
        <color rgb="FF00B050"/>
      </colorScale>
    </cfRule>
  </conditionalFormatting>
  <printOptions/>
  <pageMargins bottom="0.75" footer="0.0" header="0.0" left="0.25" right="0.25" top="0.75"/>
  <pageSetup paperSize="8" scale="45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9.0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9.0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2012-01-11T02:44:00Z</dcterms:created>
  <dc:creator>Gordon Wyeth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0x0101005144375E58E94B4797547602088A153E</vt:lpwstr>
  </property>
  <property fmtid="{D5CDD505-2E9C-101B-9397-08002B2CF9AE}" pid="3" name="ICV">
    <vt:lpwstr>769D7AE176C844A8A03AEEDC3375296A</vt:lpwstr>
  </property>
  <property fmtid="{D5CDD505-2E9C-101B-9397-08002B2CF9AE}" pid="4" name="KSOProductBuildVer">
    <vt:lpwstr>1033-11.2.0.10308</vt:lpwstr>
  </property>
</Properties>
</file>