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llocation" sheetId="1" state="visible" r:id="rId2"/>
    <sheet name="Sheet1" sheetId="2" state="visible" r:id="rId3"/>
    <sheet name="Sheet2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<sst xmlns="http://schemas.openxmlformats.org/spreadsheetml/2006/main" count="269" uniqueCount="201">
  <si>
    <t xml:space="preserve">Code</t>
  </si>
  <si>
    <t xml:space="preserve">CAB201</t>
  </si>
  <si>
    <t xml:space="preserve">CAB202</t>
  </si>
  <si>
    <t xml:space="preserve">CAB203</t>
  </si>
  <si>
    <t xml:space="preserve">CAB210</t>
  </si>
  <si>
    <t xml:space="preserve">CAB220</t>
  </si>
  <si>
    <t xml:space="preserve">CAB230</t>
  </si>
  <si>
    <t xml:space="preserve">CAB240</t>
  </si>
  <si>
    <t xml:space="preserve">CAB301</t>
  </si>
  <si>
    <t xml:space="preserve">CAB302</t>
  </si>
  <si>
    <t xml:space="preserve">CAB303</t>
  </si>
  <si>
    <t xml:space="preserve">CAB310</t>
  </si>
  <si>
    <t xml:space="preserve">CAB330</t>
  </si>
  <si>
    <t xml:space="preserve">CAB340</t>
  </si>
  <si>
    <t xml:space="preserve">CAB401</t>
  </si>
  <si>
    <t xml:space="preserve">CAB402</t>
  </si>
  <si>
    <t xml:space="preserve">CAB403</t>
  </si>
  <si>
    <t xml:space="preserve">CAB430 </t>
  </si>
  <si>
    <t xml:space="preserve">CAB431</t>
  </si>
  <si>
    <t xml:space="preserve">CAB432</t>
  </si>
  <si>
    <t xml:space="preserve">CAB440</t>
  </si>
  <si>
    <t xml:space="preserve">CAB441</t>
  </si>
  <si>
    <t xml:space="preserve">ENN523</t>
  </si>
  <si>
    <t xml:space="preserve">ENN524</t>
  </si>
  <si>
    <t xml:space="preserve">ENN541</t>
  </si>
  <si>
    <t xml:space="preserve">IFB102</t>
  </si>
  <si>
    <t xml:space="preserve">IFB104</t>
  </si>
  <si>
    <t xml:space="preserve">IFB398</t>
  </si>
  <si>
    <t xml:space="preserve">IFN507</t>
  </si>
  <si>
    <t xml:space="preserve">IFN507/IFQ507</t>
  </si>
  <si>
    <t xml:space="preserve">IFN509</t>
  </si>
  <si>
    <r>
      <rPr>
        <sz val="11"/>
        <color rgb="FF000000"/>
        <rFont val="Calibri"/>
        <family val="2"/>
        <charset val="1"/>
      </rPr>
      <t xml:space="preserve">IFN509 / </t>
    </r>
    <r>
      <rPr>
        <sz val="11"/>
        <color rgb="FFC00000"/>
        <rFont val="Calibri"/>
        <family val="2"/>
        <charset val="1"/>
      </rPr>
      <t xml:space="preserve">IFQ509</t>
    </r>
  </si>
  <si>
    <t xml:space="preserve">IFN541</t>
  </si>
  <si>
    <t xml:space="preserve">IFN541 / IFQ541</t>
  </si>
  <si>
    <t xml:space="preserve">IFN551/IFQ551</t>
  </si>
  <si>
    <t xml:space="preserve">IFN553/IFQ553</t>
  </si>
  <si>
    <t xml:space="preserve">IFN555/IFQ555</t>
  </si>
  <si>
    <t xml:space="preserve">IFN556/IFQ556</t>
  </si>
  <si>
    <t xml:space="preserve">IFN563</t>
  </si>
  <si>
    <r>
      <rPr>
        <sz val="11"/>
        <color rgb="FF000000"/>
        <rFont val="Calibri"/>
        <family val="2"/>
        <charset val="1"/>
      </rPr>
      <t xml:space="preserve">IFN563 / </t>
    </r>
    <r>
      <rPr>
        <sz val="11"/>
        <color rgb="FFC00000"/>
        <rFont val="Calibri"/>
        <family val="2"/>
        <charset val="1"/>
      </rPr>
      <t xml:space="preserve">IFQ563</t>
    </r>
  </si>
  <si>
    <t xml:space="preserve">IFN564</t>
  </si>
  <si>
    <r>
      <rPr>
        <sz val="11"/>
        <color rgb="FF000000"/>
        <rFont val="Calibri"/>
        <family val="2"/>
        <charset val="1"/>
      </rPr>
      <t xml:space="preserve">IFN564 / </t>
    </r>
    <r>
      <rPr>
        <sz val="11"/>
        <color rgb="FFC00000"/>
        <rFont val="Calibri"/>
        <family val="2"/>
        <charset val="1"/>
      </rPr>
      <t xml:space="preserve">IFQ564</t>
    </r>
  </si>
  <si>
    <t xml:space="preserve">IFN591</t>
  </si>
  <si>
    <r>
      <rPr>
        <sz val="11"/>
        <color rgb="FF000000"/>
        <rFont val="Calibri"/>
        <family val="2"/>
        <charset val="1"/>
      </rPr>
      <t xml:space="preserve">IFN591 / </t>
    </r>
    <r>
      <rPr>
        <sz val="11"/>
        <color rgb="FFC00000"/>
        <rFont val="Calibri"/>
        <family val="2"/>
        <charset val="1"/>
      </rPr>
      <t xml:space="preserve">IFQ591</t>
    </r>
  </si>
  <si>
    <t xml:space="preserve">IFN644</t>
  </si>
  <si>
    <t xml:space="preserve">IFN645</t>
  </si>
  <si>
    <t xml:space="preserve">IFN646</t>
  </si>
  <si>
    <t xml:space="preserve">IFN647</t>
  </si>
  <si>
    <t xml:space="preserve">IFN648</t>
  </si>
  <si>
    <t xml:space="preserve">IFN657</t>
  </si>
  <si>
    <t xml:space="preserve">IFN666</t>
  </si>
  <si>
    <t xml:space="preserve">IFN680</t>
  </si>
  <si>
    <t xml:space="preserve">IFN692</t>
  </si>
  <si>
    <t xml:space="preserve">IFN703</t>
  </si>
  <si>
    <t xml:space="preserve">IFN704</t>
  </si>
  <si>
    <t xml:space="preserve">IFN712</t>
  </si>
  <si>
    <t xml:space="preserve">IGB100</t>
  </si>
  <si>
    <t xml:space="preserve">IGB180</t>
  </si>
  <si>
    <t xml:space="preserve">IGB181</t>
  </si>
  <si>
    <t xml:space="preserve">IGB200</t>
  </si>
  <si>
    <t xml:space="preserve">IGB220</t>
  </si>
  <si>
    <t xml:space="preserve">IGB283</t>
  </si>
  <si>
    <t xml:space="preserve">IGB300</t>
  </si>
  <si>
    <t xml:space="preserve">IGB301</t>
  </si>
  <si>
    <t xml:space="preserve">IGB320</t>
  </si>
  <si>
    <t xml:space="preserve">IGB321</t>
  </si>
  <si>
    <t xml:space="preserve">IGB381</t>
  </si>
  <si>
    <t xml:space="preserve">IGB383</t>
  </si>
  <si>
    <t xml:space="preserve">IGB400</t>
  </si>
  <si>
    <t xml:space="preserve">IFN664</t>
  </si>
  <si>
    <t xml:space="preserve">CAB420</t>
  </si>
  <si>
    <t xml:space="preserve">CAB320</t>
  </si>
  <si>
    <t xml:space="preserve">Standard Load:</t>
  </si>
  <si>
    <t xml:space="preserve">Name</t>
  </si>
  <si>
    <t xml:space="preserve">Programming Principles</t>
  </si>
  <si>
    <t xml:space="preserve">Micro Proc and Dig Sys</t>
  </si>
  <si>
    <t xml:space="preserve">Discrete Structures</t>
  </si>
  <si>
    <t xml:space="preserve">People Context &amp; Tech</t>
  </si>
  <si>
    <t xml:space="preserve">Fund of Data Science</t>
  </si>
  <si>
    <t xml:space="preserve">Web Computing</t>
  </si>
  <si>
    <t xml:space="preserve">Information Security</t>
  </si>
  <si>
    <t xml:space="preserve">Algorithms &amp; Complexity</t>
  </si>
  <si>
    <t xml:space="preserve">Software Development</t>
  </si>
  <si>
    <t xml:space="preserve">Networks</t>
  </si>
  <si>
    <t xml:space="preserve">Interaction &amp; Experience Design</t>
  </si>
  <si>
    <t xml:space="preserve">Data and Web Analytics</t>
  </si>
  <si>
    <t xml:space="preserve">Cryptography</t>
  </si>
  <si>
    <t xml:space="preserve">High Performance and Parallel Computing</t>
  </si>
  <si>
    <t xml:space="preserve">Programming Paradigms</t>
  </si>
  <si>
    <t xml:space="preserve">Systems Programming</t>
  </si>
  <si>
    <t xml:space="preserve">Data and Information Integration</t>
  </si>
  <si>
    <t xml:space="preserve">Search Engine Technology</t>
  </si>
  <si>
    <t xml:space="preserve">Cloud Computing</t>
  </si>
  <si>
    <t xml:space="preserve">Network and Security Administration</t>
  </si>
  <si>
    <t xml:space="preserve">Network Security</t>
  </si>
  <si>
    <t xml:space="preserve">Advanced Network Engineering</t>
  </si>
  <si>
    <t xml:space="preserve">Mobile Network Engineering</t>
  </si>
  <si>
    <t xml:space="preserve">Research Methods for Engineers</t>
  </si>
  <si>
    <t xml:space="preserve">Comp Tech Fundamentals</t>
  </si>
  <si>
    <t xml:space="preserve">Building IT Systems</t>
  </si>
  <si>
    <t xml:space="preserve">Capstone (Phase 1)</t>
  </si>
  <si>
    <t xml:space="preserve">Network Systems</t>
  </si>
  <si>
    <t xml:space="preserve">Data Exploration and Mining</t>
  </si>
  <si>
    <t xml:space="preserve">Information Security Management</t>
  </si>
  <si>
    <t xml:space="preserve">Computer Systems Fundamentals</t>
  </si>
  <si>
    <t xml:space="preserve">Intro Cyber Security &amp; Networks</t>
  </si>
  <si>
    <t xml:space="preserve">Introduction to Programming</t>
  </si>
  <si>
    <t xml:space="preserve">Object Oriented Programming</t>
  </si>
  <si>
    <t xml:space="preserve">Object Oriented Design</t>
  </si>
  <si>
    <t xml:space="preserve">Data Structures and Algorithms</t>
  </si>
  <si>
    <t xml:space="preserve">Principles of UX</t>
  </si>
  <si>
    <t xml:space="preserve">Network Operations and Security</t>
  </si>
  <si>
    <t xml:space="preserve">Large Scale Data Mining</t>
  </si>
  <si>
    <t xml:space="preserve">Biomedical Data Science</t>
  </si>
  <si>
    <t xml:space="preserve">Text, Web and Media Analytics</t>
  </si>
  <si>
    <t xml:space="preserve">Applied Crytography</t>
  </si>
  <si>
    <t xml:space="preserve">Principles of Software Security</t>
  </si>
  <si>
    <t xml:space="preserve">Web &amp; Mobile App Development</t>
  </si>
  <si>
    <t xml:space="preserve">Advanced Topics in AI</t>
  </si>
  <si>
    <t xml:space="preserve">Interaction Design for Emerging Tech</t>
  </si>
  <si>
    <t xml:space="preserve">Advanced Project</t>
  </si>
  <si>
    <t xml:space="preserve">Research in IT Practice</t>
  </si>
  <si>
    <t xml:space="preserve">Game Studio 1</t>
  </si>
  <si>
    <t xml:space="preserve">Computer Games Studies</t>
  </si>
  <si>
    <t xml:space="preserve">Game Production and Technology</t>
  </si>
  <si>
    <t xml:space="preserve">Game Studio 2</t>
  </si>
  <si>
    <t xml:space="preserve">Fundamentals of game Design</t>
  </si>
  <si>
    <t xml:space="preserve">Game Engine Theory and Application</t>
  </si>
  <si>
    <t xml:space="preserve">Capstone (Game Design)</t>
  </si>
  <si>
    <t xml:space="preserve">Capstone (Game Development)</t>
  </si>
  <si>
    <t xml:space="preserve">Game Design in Different Contexts</t>
  </si>
  <si>
    <t xml:space="preserve">Immersive Game Level Design</t>
  </si>
  <si>
    <t xml:space="preserve">Game Engine Technology</t>
  </si>
  <si>
    <t xml:space="preserve">AI for Games</t>
  </si>
  <si>
    <t xml:space="preserve">Game Studio 3</t>
  </si>
  <si>
    <t xml:space="preserve">Adv Algorithms &amp; Comp Complexity</t>
  </si>
  <si>
    <t xml:space="preserve">Machine Learning</t>
  </si>
  <si>
    <t xml:space="preserve">Artificial Intelligence</t>
  </si>
  <si>
    <t xml:space="preserve">Sem</t>
  </si>
  <si>
    <t xml:space="preserve">1 &amp; 2</t>
  </si>
  <si>
    <t xml:space="preserve">Students</t>
  </si>
  <si>
    <t xml:space="preserve">Share</t>
  </si>
  <si>
    <t xml:space="preserve">Minimum Load:</t>
  </si>
  <si>
    <t xml:space="preserve">Assigned Load</t>
  </si>
  <si>
    <t xml:space="preserve">Total:</t>
  </si>
  <si>
    <t xml:space="preserve">Allocated Load</t>
  </si>
  <si>
    <t xml:space="preserve">Academic</t>
  </si>
  <si>
    <t xml:space="preserve">School</t>
  </si>
  <si>
    <t xml:space="preserve">Load</t>
  </si>
  <si>
    <t xml:space="preserve">Unit Load</t>
  </si>
  <si>
    <t xml:space="preserve">Actual Load</t>
  </si>
  <si>
    <t xml:space="preserve">Load Error</t>
  </si>
  <si>
    <t xml:space="preserve"> Mantis Tobogan</t>
  </si>
  <si>
    <t xml:space="preserve">CS</t>
  </si>
  <si>
    <t xml:space="preserve"> Kom Poota</t>
  </si>
  <si>
    <t xml:space="preserve">2013 breaks LSL</t>
  </si>
  <si>
    <t xml:space="preserve"> Sergine Aldéric </t>
  </si>
  <si>
    <t xml:space="preserve">Dec-Jan LSL</t>
  </si>
  <si>
    <t xml:space="preserve"> Dennis Darren </t>
  </si>
  <si>
    <t xml:space="preserve"> Timotha Lanny </t>
  </si>
  <si>
    <t xml:space="preserve"> Lorrie Sheila </t>
  </si>
  <si>
    <t xml:space="preserve"> Nia Kerena </t>
  </si>
  <si>
    <t xml:space="preserve"> Avice Preston </t>
  </si>
  <si>
    <t xml:space="preserve"> Hellen Tatianna </t>
  </si>
  <si>
    <t xml:space="preserve"> Maddison Fiona </t>
  </si>
  <si>
    <t xml:space="preserve"> Pearl Larissa </t>
  </si>
  <si>
    <t xml:space="preserve"> Scott Johnson</t>
  </si>
  <si>
    <t xml:space="preserve"> Sudarshana Tanya</t>
  </si>
  <si>
    <t xml:space="preserve"> Christen Godiva</t>
  </si>
  <si>
    <t xml:space="preserve"> Evgeniy Hyacinthus </t>
  </si>
  <si>
    <t xml:space="preserve">Jul - Nov PDL</t>
  </si>
  <si>
    <t xml:space="preserve"> Essi Elisabeti </t>
  </si>
  <si>
    <t xml:space="preserve"> Caiside Zhihao </t>
  </si>
  <si>
    <t xml:space="preserve">ECARD</t>
  </si>
  <si>
    <t xml:space="preserve"> Lyubov Zejneb </t>
  </si>
  <si>
    <t xml:space="preserve"> Aca Puneet </t>
  </si>
  <si>
    <t xml:space="preserve"> Lachesis Vappu </t>
  </si>
  <si>
    <t xml:space="preserve"> Sauliā Crius </t>
  </si>
  <si>
    <t xml:space="preserve"> Aneta Ludmila </t>
  </si>
  <si>
    <t xml:space="preserve"> Swapna Albinus </t>
  </si>
  <si>
    <t xml:space="preserve"> Donald Varnava </t>
  </si>
  <si>
    <t xml:space="preserve"> Désiré Narayana </t>
  </si>
  <si>
    <t xml:space="preserve"> Lally Sequoyah </t>
  </si>
  <si>
    <t xml:space="preserve"> Céline Gifty </t>
  </si>
  <si>
    <t xml:space="preserve"> Rebecca Merete </t>
  </si>
  <si>
    <t xml:space="preserve"> Katarína Ekewaka </t>
  </si>
  <si>
    <t xml:space="preserve"> Herta Zita </t>
  </si>
  <si>
    <t xml:space="preserve"> Isa Flavia </t>
  </si>
  <si>
    <t xml:space="preserve">Feb-Jun PDL</t>
  </si>
  <si>
    <t xml:space="preserve"> Bogomir Blodeuwedd </t>
  </si>
  <si>
    <t xml:space="preserve"> Jessalyn Sheree </t>
  </si>
  <si>
    <t xml:space="preserve"> Ealair Janka </t>
  </si>
  <si>
    <t xml:space="preserve"> Chimo Daniel </t>
  </si>
  <si>
    <t xml:space="preserve"> Marina Seòras </t>
  </si>
  <si>
    <t xml:space="preserve"> Griselda Yūto </t>
  </si>
  <si>
    <t xml:space="preserve"> Mladen Dr Bone </t>
  </si>
  <si>
    <t xml:space="preserve"> Evelīna Simon </t>
  </si>
  <si>
    <t xml:space="preserve"> Amancio Simone </t>
  </si>
  <si>
    <t xml:space="preserve">Total</t>
  </si>
  <si>
    <t xml:space="preserve">ENN590 / ENN541</t>
  </si>
  <si>
    <t xml:space="preserve">MAB461?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</si>
</sst>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0"/>
    <numFmt numFmtId="166" formatCode="0.0"/>
    <numFmt numFmtId="167" formatCode="0.00"/>
    <numFmt numFmtId="168" formatCode="General"/>
  </numFmts>
  <fonts count="1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9"/>
      <name val="Arial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C00000"/>
      <name val="Calibri"/>
      <family val="2"/>
      <charset val="1"/>
    </font>
    <font>
      <b val="true"/>
      <sz val="11"/>
      <color rgb="FFC00000"/>
      <name val="Calibri"/>
      <family val="2"/>
      <charset val="1"/>
    </font>
    <font>
      <b val="true"/>
      <sz val="11"/>
      <color rgb="FFFA7D00"/>
      <name val="Calibri"/>
      <family val="2"/>
      <charset val="1"/>
    </font>
    <font>
      <sz val="11"/>
      <name val="Calibri"/>
      <family val="2"/>
      <charset val="1"/>
    </font>
    <font>
      <sz val="11"/>
      <color rgb="FFFF0000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2F2F2"/>
        <bgColor rgb="FFFFFFCC"/>
      </patternFill>
    </fill>
    <fill>
      <patternFill patternType="solid">
        <fgColor rgb="FFD7E4BD"/>
        <bgColor rgb="FFF2F2F2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 diagonalUp="false" diagonalDown="false">
      <left style="thin">
        <color rgb="FFC00000"/>
      </left>
      <right style="thin">
        <color rgb="FFC00000"/>
      </right>
      <top style="thin">
        <color rgb="FFC00000"/>
      </top>
      <bottom style="thin">
        <color rgb="FFC00000"/>
      </bottom>
      <diagonal/>
    </border>
  </borders>
  <cellStyleXfs count="23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1" applyFont="true" applyBorder="true" applyAlignment="true" applyProtection="false">
      <alignment horizontal="general" vertical="bottom" textRotation="0" wrapText="false" indent="0" shrinkToFit="false"/>
    </xf>
  </cellStyleXfs>
  <cellXfs count="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18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18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18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18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18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8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22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9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2 2" xfId="21"/>
    <cellStyle name="Excel Built-in Calculation" xfId="22"/>
  </cellStyles>
  <dxfs count="24">
    <dxf>
      <fill>
        <patternFill>
          <bgColor rgb="FFC0504D"/>
        </patternFill>
      </fill>
    </dxf>
    <dxf>
      <font>
        <color rgb="00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00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00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00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00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00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00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00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00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00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00FFFFFF"/>
      </font>
      <fill>
        <patternFill>
          <bgColor rgb="FF9BBB59"/>
        </patternFill>
      </fill>
    </dxf>
    <dxf>
      <fill>
        <patternFill>
          <bgColor rgb="FFC0504D"/>
        </patternFill>
      </fill>
    </dxf>
    <dxf>
      <font>
        <color rgb="00FFFFFF"/>
      </font>
      <fill>
        <patternFill>
          <bgColor rgb="FF9BBB59"/>
        </patternFill>
      </fill>
    </dxf>
  </dxfs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C0C0C0"/>
      <rgbColor rgb="FF7F7F7F"/>
      <rgbColor rgb="FF9999FF"/>
      <rgbColor rgb="FFC0504D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9CCFF"/>
      <rgbColor rgb="FFFF99CC"/>
      <rgbColor rgb="FFCC99FF"/>
      <rgbColor rgb="FFFFCC99"/>
      <rgbColor rgb="FF3366FF"/>
      <rgbColor rgb="FF33CCCC"/>
      <rgbColor rgb="FF9BBB59"/>
      <rgbColor rgb="FFFFCC00"/>
      <rgbColor rgb="FFFF9900"/>
      <rgbColor rgb="FFFA7D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O54"/>
  <sheetViews>
    <sheetView showFormulas="false" showGridLines="true" showRowColHeaders="true" showZeros="true" rightToLeft="false" tabSelected="true" showOutlineSymbols="true" defaultGridColor="true" view="normal" topLeftCell="A1" colorId="64" zoomScale="200" zoomScaleNormal="200" zoomScalePageLayoutView="100" workbookViewId="0">
      <pane xSplit="7" ySplit="8" topLeftCell="R30" activePane="bottomRight" state="frozen"/>
      <selection pane="topLeft" activeCell="A1" activeCellId="0" sqref="A1"/>
      <selection pane="topRight" activeCell="R1" activeCellId="0" sqref="R1"/>
      <selection pane="bottomLeft" activeCell="A30" activeCellId="0" sqref="A30"/>
      <selection pane="bottomRight" activeCell="X8" activeCellId="0" sqref="X7:X8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27.42"/>
    <col collapsed="false" customWidth="true" hidden="false" outlineLevel="0" max="2" min="2" style="0" width="7.28"/>
    <col collapsed="false" customWidth="true" hidden="false" outlineLevel="0" max="3" min="3" style="0" width="6.57"/>
    <col collapsed="false" customWidth="true" hidden="false" outlineLevel="0" max="4" min="4" style="0" width="6.43"/>
    <col collapsed="false" customWidth="true" hidden="false" outlineLevel="0" max="5" min="5" style="0" width="5.85"/>
    <col collapsed="false" customWidth="true" hidden="false" outlineLevel="0" max="6" min="6" style="0" width="7.43"/>
    <col collapsed="false" customWidth="true" hidden="false" outlineLevel="0" max="7" min="7" style="0" width="6.43"/>
    <col collapsed="false" customWidth="true" hidden="false" outlineLevel="0" max="32" min="8" style="0" width="5.57"/>
    <col collapsed="false" customWidth="true" hidden="false" outlineLevel="0" max="33" min="33" style="0" width="6.43"/>
    <col collapsed="false" customWidth="true" hidden="false" outlineLevel="0" max="62" min="34" style="0" width="5.57"/>
    <col collapsed="false" customWidth="true" hidden="false" outlineLevel="0" max="63" min="63" style="0" width="5.85"/>
    <col collapsed="false" customWidth="true" hidden="false" outlineLevel="0" max="84" min="64" style="0" width="5.57"/>
    <col collapsed="false" customWidth="true" hidden="false" outlineLevel="0" max="93" min="91" style="0" width="5.57"/>
  </cols>
  <sheetData>
    <row r="1" customFormat="false" ht="91.35" hidden="false" customHeight="true" outlineLevel="0" collapsed="false">
      <c r="G1" s="1" t="s">
        <v>0</v>
      </c>
      <c r="H1" s="2" t="s">
        <v>1</v>
      </c>
      <c r="I1" s="2" t="s">
        <v>1</v>
      </c>
      <c r="J1" s="2" t="s">
        <v>2</v>
      </c>
      <c r="K1" s="2" t="s">
        <v>2</v>
      </c>
      <c r="L1" s="3" t="s">
        <v>3</v>
      </c>
      <c r="M1" s="3" t="s">
        <v>4</v>
      </c>
      <c r="N1" s="3" t="s">
        <v>5</v>
      </c>
      <c r="O1" s="2" t="s">
        <v>6</v>
      </c>
      <c r="P1" s="3" t="s">
        <v>7</v>
      </c>
      <c r="Q1" s="2" t="s">
        <v>8</v>
      </c>
      <c r="R1" s="2" t="s">
        <v>9</v>
      </c>
      <c r="S1" s="2" t="s">
        <v>10</v>
      </c>
      <c r="T1" s="2" t="s">
        <v>11</v>
      </c>
      <c r="U1" s="2" t="s">
        <v>12</v>
      </c>
      <c r="V1" s="2" t="s">
        <v>13</v>
      </c>
      <c r="W1" s="2" t="s">
        <v>14</v>
      </c>
      <c r="X1" s="2" t="s">
        <v>15</v>
      </c>
      <c r="Y1" s="2" t="s">
        <v>16</v>
      </c>
      <c r="Z1" s="2" t="s">
        <v>17</v>
      </c>
      <c r="AA1" s="2" t="s">
        <v>18</v>
      </c>
      <c r="AB1" s="2" t="s">
        <v>19</v>
      </c>
      <c r="AC1" s="2" t="s">
        <v>20</v>
      </c>
      <c r="AD1" s="2" t="s">
        <v>21</v>
      </c>
      <c r="AE1" s="2" t="s">
        <v>22</v>
      </c>
      <c r="AF1" s="2" t="s">
        <v>23</v>
      </c>
      <c r="AG1" s="2" t="s">
        <v>24</v>
      </c>
      <c r="AH1" s="2" t="s">
        <v>25</v>
      </c>
      <c r="AI1" s="2" t="s">
        <v>25</v>
      </c>
      <c r="AJ1" s="2" t="s">
        <v>26</v>
      </c>
      <c r="AK1" s="2" t="s">
        <v>26</v>
      </c>
      <c r="AL1" s="2" t="s">
        <v>27</v>
      </c>
      <c r="AM1" s="2" t="s">
        <v>27</v>
      </c>
      <c r="AN1" s="2" t="s">
        <v>28</v>
      </c>
      <c r="AO1" s="2" t="s">
        <v>29</v>
      </c>
      <c r="AP1" s="2" t="s">
        <v>30</v>
      </c>
      <c r="AQ1" s="2" t="s">
        <v>31</v>
      </c>
      <c r="AR1" s="2" t="s">
        <v>32</v>
      </c>
      <c r="AS1" s="2" t="s">
        <v>33</v>
      </c>
      <c r="AT1" s="3" t="s">
        <v>34</v>
      </c>
      <c r="AU1" s="3" t="s">
        <v>34</v>
      </c>
      <c r="AV1" s="3" t="s">
        <v>35</v>
      </c>
      <c r="AW1" s="3" t="s">
        <v>35</v>
      </c>
      <c r="AX1" s="2" t="s">
        <v>36</v>
      </c>
      <c r="AY1" s="2" t="s">
        <v>36</v>
      </c>
      <c r="AZ1" s="2" t="s">
        <v>37</v>
      </c>
      <c r="BA1" s="2" t="s">
        <v>37</v>
      </c>
      <c r="BB1" s="2" t="s">
        <v>38</v>
      </c>
      <c r="BC1" s="2" t="s">
        <v>39</v>
      </c>
      <c r="BD1" s="2" t="s">
        <v>40</v>
      </c>
      <c r="BE1" s="2" t="s">
        <v>41</v>
      </c>
      <c r="BF1" s="2" t="s">
        <v>42</v>
      </c>
      <c r="BG1" s="2" t="s">
        <v>43</v>
      </c>
      <c r="BH1" s="2" t="s">
        <v>44</v>
      </c>
      <c r="BI1" s="2" t="s">
        <v>45</v>
      </c>
      <c r="BJ1" s="2" t="s">
        <v>46</v>
      </c>
      <c r="BK1" s="2" t="s">
        <v>47</v>
      </c>
      <c r="BL1" s="2" t="s">
        <v>48</v>
      </c>
      <c r="BM1" s="2" t="s">
        <v>49</v>
      </c>
      <c r="BN1" s="2" t="s">
        <v>50</v>
      </c>
      <c r="BO1" s="2" t="s">
        <v>51</v>
      </c>
      <c r="BP1" s="2" t="s">
        <v>52</v>
      </c>
      <c r="BQ1" s="2" t="s">
        <v>53</v>
      </c>
      <c r="BR1" s="2" t="s">
        <v>54</v>
      </c>
      <c r="BS1" s="2" t="s">
        <v>55</v>
      </c>
      <c r="BT1" s="2" t="s">
        <v>56</v>
      </c>
      <c r="BU1" s="2" t="s">
        <v>57</v>
      </c>
      <c r="BV1" s="2" t="s">
        <v>58</v>
      </c>
      <c r="BW1" s="2" t="s">
        <v>59</v>
      </c>
      <c r="BX1" s="2" t="s">
        <v>60</v>
      </c>
      <c r="BY1" s="2" t="s">
        <v>61</v>
      </c>
      <c r="BZ1" s="2" t="s">
        <v>62</v>
      </c>
      <c r="CA1" s="2" t="s">
        <v>63</v>
      </c>
      <c r="CB1" s="2" t="s">
        <v>64</v>
      </c>
      <c r="CC1" s="2" t="s">
        <v>65</v>
      </c>
      <c r="CD1" s="2" t="s">
        <v>66</v>
      </c>
      <c r="CE1" s="2" t="s">
        <v>67</v>
      </c>
      <c r="CF1" s="4" t="s">
        <v>68</v>
      </c>
      <c r="CM1" s="2" t="s">
        <v>69</v>
      </c>
      <c r="CN1" s="2" t="s">
        <v>70</v>
      </c>
      <c r="CO1" s="2" t="s">
        <v>71</v>
      </c>
    </row>
    <row r="2" customFormat="false" ht="78" hidden="false" customHeight="true" outlineLevel="0" collapsed="false">
      <c r="A2" s="5" t="s">
        <v>72</v>
      </c>
      <c r="B2" s="5"/>
      <c r="C2" s="0" t="n">
        <f aca="false">CH6/D50</f>
        <v>2.53763831600385</v>
      </c>
      <c r="G2" s="1" t="s">
        <v>73</v>
      </c>
      <c r="H2" s="6" t="s">
        <v>74</v>
      </c>
      <c r="I2" s="6" t="s">
        <v>74</v>
      </c>
      <c r="J2" s="6" t="s">
        <v>75</v>
      </c>
      <c r="K2" s="6" t="s">
        <v>75</v>
      </c>
      <c r="L2" s="6" t="s">
        <v>76</v>
      </c>
      <c r="M2" s="6" t="s">
        <v>77</v>
      </c>
      <c r="N2" s="6" t="s">
        <v>78</v>
      </c>
      <c r="O2" s="6" t="s">
        <v>79</v>
      </c>
      <c r="P2" s="6" t="s">
        <v>80</v>
      </c>
      <c r="Q2" s="6" t="s">
        <v>81</v>
      </c>
      <c r="R2" s="6" t="s">
        <v>82</v>
      </c>
      <c r="S2" s="6" t="s">
        <v>83</v>
      </c>
      <c r="T2" s="6" t="s">
        <v>84</v>
      </c>
      <c r="U2" s="6" t="s">
        <v>85</v>
      </c>
      <c r="V2" s="6" t="s">
        <v>86</v>
      </c>
      <c r="W2" s="6" t="s">
        <v>87</v>
      </c>
      <c r="X2" s="6" t="s">
        <v>88</v>
      </c>
      <c r="Y2" s="6" t="s">
        <v>89</v>
      </c>
      <c r="Z2" s="6" t="s">
        <v>90</v>
      </c>
      <c r="AA2" s="6" t="s">
        <v>91</v>
      </c>
      <c r="AB2" s="6" t="s">
        <v>92</v>
      </c>
      <c r="AC2" s="6" t="s">
        <v>93</v>
      </c>
      <c r="AD2" s="6" t="s">
        <v>94</v>
      </c>
      <c r="AE2" s="6" t="s">
        <v>95</v>
      </c>
      <c r="AF2" s="6" t="s">
        <v>96</v>
      </c>
      <c r="AG2" s="6" t="s">
        <v>97</v>
      </c>
      <c r="AH2" s="6" t="s">
        <v>98</v>
      </c>
      <c r="AI2" s="6" t="s">
        <v>98</v>
      </c>
      <c r="AJ2" s="6" t="s">
        <v>99</v>
      </c>
      <c r="AK2" s="6" t="s">
        <v>99</v>
      </c>
      <c r="AL2" s="6" t="s">
        <v>100</v>
      </c>
      <c r="AM2" s="6" t="s">
        <v>100</v>
      </c>
      <c r="AN2" s="6" t="s">
        <v>101</v>
      </c>
      <c r="AO2" s="6" t="s">
        <v>101</v>
      </c>
      <c r="AP2" s="6" t="s">
        <v>102</v>
      </c>
      <c r="AQ2" s="6" t="s">
        <v>102</v>
      </c>
      <c r="AR2" s="6" t="s">
        <v>103</v>
      </c>
      <c r="AS2" s="6" t="s">
        <v>103</v>
      </c>
      <c r="AT2" s="6" t="s">
        <v>104</v>
      </c>
      <c r="AU2" s="6" t="s">
        <v>104</v>
      </c>
      <c r="AV2" s="6" t="s">
        <v>105</v>
      </c>
      <c r="AW2" s="6" t="s">
        <v>105</v>
      </c>
      <c r="AX2" s="6" t="s">
        <v>106</v>
      </c>
      <c r="AY2" s="6" t="s">
        <v>106</v>
      </c>
      <c r="AZ2" s="6" t="s">
        <v>107</v>
      </c>
      <c r="BA2" s="6" t="s">
        <v>107</v>
      </c>
      <c r="BB2" s="6" t="s">
        <v>108</v>
      </c>
      <c r="BC2" s="6" t="s">
        <v>108</v>
      </c>
      <c r="BD2" s="6" t="s">
        <v>109</v>
      </c>
      <c r="BE2" s="6" t="s">
        <v>109</v>
      </c>
      <c r="BF2" s="6" t="s">
        <v>110</v>
      </c>
      <c r="BG2" s="6" t="s">
        <v>110</v>
      </c>
      <c r="BH2" s="6" t="s">
        <v>111</v>
      </c>
      <c r="BI2" s="6" t="s">
        <v>112</v>
      </c>
      <c r="BJ2" s="6" t="s">
        <v>113</v>
      </c>
      <c r="BK2" s="6" t="s">
        <v>114</v>
      </c>
      <c r="BL2" s="6" t="s">
        <v>115</v>
      </c>
      <c r="BM2" s="6" t="s">
        <v>116</v>
      </c>
      <c r="BN2" s="6" t="s">
        <v>117</v>
      </c>
      <c r="BO2" s="6" t="s">
        <v>118</v>
      </c>
      <c r="BP2" s="6" t="s">
        <v>119</v>
      </c>
      <c r="BQ2" s="6" t="s">
        <v>120</v>
      </c>
      <c r="BR2" s="6" t="s">
        <v>120</v>
      </c>
      <c r="BS2" s="6" t="s">
        <v>121</v>
      </c>
      <c r="BT2" s="6" t="s">
        <v>122</v>
      </c>
      <c r="BU2" s="6" t="s">
        <v>123</v>
      </c>
      <c r="BV2" s="6" t="s">
        <v>124</v>
      </c>
      <c r="BW2" s="6" t="s">
        <v>125</v>
      </c>
      <c r="BX2" s="6" t="s">
        <v>126</v>
      </c>
      <c r="BY2" s="6" t="s">
        <v>127</v>
      </c>
      <c r="BZ2" s="6" t="s">
        <v>128</v>
      </c>
      <c r="CA2" s="6" t="s">
        <v>129</v>
      </c>
      <c r="CB2" s="6" t="s">
        <v>130</v>
      </c>
      <c r="CC2" s="6" t="s">
        <v>131</v>
      </c>
      <c r="CD2" s="6" t="s">
        <v>132</v>
      </c>
      <c r="CE2" s="6" t="s">
        <v>133</v>
      </c>
      <c r="CF2" s="7" t="s">
        <v>134</v>
      </c>
      <c r="CM2" s="6" t="s">
        <v>135</v>
      </c>
      <c r="CN2" s="6" t="s">
        <v>136</v>
      </c>
      <c r="CO2" s="6" t="s">
        <v>137</v>
      </c>
    </row>
    <row r="3" customFormat="false" ht="20.1" hidden="false" customHeight="true" outlineLevel="0" collapsed="false">
      <c r="A3" s="8"/>
      <c r="B3" s="8"/>
      <c r="G3" s="1" t="s">
        <v>138</v>
      </c>
      <c r="H3" s="9" t="n">
        <v>1</v>
      </c>
      <c r="I3" s="9" t="n">
        <v>2</v>
      </c>
      <c r="J3" s="9" t="n">
        <v>1</v>
      </c>
      <c r="K3" s="9" t="n">
        <v>2</v>
      </c>
      <c r="L3" s="9" t="n">
        <v>1</v>
      </c>
      <c r="M3" s="9" t="n">
        <v>2</v>
      </c>
      <c r="N3" s="9" t="n">
        <v>2</v>
      </c>
      <c r="O3" s="9" t="n">
        <v>1</v>
      </c>
      <c r="P3" s="9" t="n">
        <v>2</v>
      </c>
      <c r="Q3" s="9" t="n">
        <v>1</v>
      </c>
      <c r="R3" s="9" t="n">
        <v>1</v>
      </c>
      <c r="S3" s="9" t="n">
        <v>2</v>
      </c>
      <c r="T3" s="9" t="n">
        <v>1</v>
      </c>
      <c r="U3" s="9" t="n">
        <v>2</v>
      </c>
      <c r="V3" s="9" t="n">
        <v>2</v>
      </c>
      <c r="W3" s="9" t="n">
        <v>2</v>
      </c>
      <c r="X3" s="9" t="n">
        <v>1</v>
      </c>
      <c r="Y3" s="9" t="n">
        <v>2</v>
      </c>
      <c r="Z3" s="9" t="n">
        <v>1</v>
      </c>
      <c r="AA3" s="9" t="n">
        <v>1</v>
      </c>
      <c r="AB3" s="9" t="n">
        <v>2</v>
      </c>
      <c r="AC3" s="9" t="n">
        <v>1</v>
      </c>
      <c r="AD3" s="9" t="n">
        <v>2</v>
      </c>
      <c r="AE3" s="9" t="n">
        <v>1</v>
      </c>
      <c r="AF3" s="9" t="n">
        <v>2</v>
      </c>
      <c r="AG3" s="9" t="n">
        <v>2</v>
      </c>
      <c r="AH3" s="9" t="n">
        <v>1</v>
      </c>
      <c r="AI3" s="9" t="n">
        <v>2</v>
      </c>
      <c r="AJ3" s="9" t="n">
        <v>1</v>
      </c>
      <c r="AK3" s="9" t="n">
        <v>2</v>
      </c>
      <c r="AL3" s="9" t="n">
        <v>1</v>
      </c>
      <c r="AM3" s="9" t="n">
        <v>2</v>
      </c>
      <c r="AN3" s="9" t="n">
        <v>1</v>
      </c>
      <c r="AO3" s="9" t="n">
        <v>2</v>
      </c>
      <c r="AP3" s="9" t="n">
        <v>1</v>
      </c>
      <c r="AQ3" s="9" t="n">
        <v>2</v>
      </c>
      <c r="AR3" s="9" t="n">
        <v>1</v>
      </c>
      <c r="AS3" s="9" t="n">
        <v>2</v>
      </c>
      <c r="AT3" s="9" t="n">
        <v>1</v>
      </c>
      <c r="AU3" s="9" t="n">
        <v>2</v>
      </c>
      <c r="AV3" s="9" t="n">
        <v>1</v>
      </c>
      <c r="AW3" s="9" t="n">
        <v>2</v>
      </c>
      <c r="AX3" s="9" t="n">
        <v>1</v>
      </c>
      <c r="AY3" s="9" t="n">
        <v>2</v>
      </c>
      <c r="AZ3" s="9" t="n">
        <v>1</v>
      </c>
      <c r="BA3" s="9" t="n">
        <v>2</v>
      </c>
      <c r="BB3" s="9" t="n">
        <v>1</v>
      </c>
      <c r="BC3" s="9" t="n">
        <v>2</v>
      </c>
      <c r="BD3" s="9" t="n">
        <v>1</v>
      </c>
      <c r="BE3" s="9" t="n">
        <v>2</v>
      </c>
      <c r="BF3" s="9" t="n">
        <v>1</v>
      </c>
      <c r="BG3" s="9" t="n">
        <v>2</v>
      </c>
      <c r="BH3" s="9" t="n">
        <v>1</v>
      </c>
      <c r="BI3" s="9" t="n">
        <v>1</v>
      </c>
      <c r="BJ3" s="9" t="n">
        <v>2</v>
      </c>
      <c r="BK3" s="9" t="n">
        <v>1</v>
      </c>
      <c r="BL3" s="9" t="n">
        <v>1</v>
      </c>
      <c r="BM3" s="9" t="n">
        <v>2</v>
      </c>
      <c r="BN3" s="9" t="n">
        <v>1</v>
      </c>
      <c r="BO3" s="9" t="n">
        <v>2</v>
      </c>
      <c r="BP3" s="9" t="n">
        <v>2</v>
      </c>
      <c r="BQ3" s="9" t="s">
        <v>139</v>
      </c>
      <c r="BR3" s="9" t="s">
        <v>139</v>
      </c>
      <c r="BS3" s="9" t="n">
        <v>2</v>
      </c>
      <c r="BT3" s="9" t="n">
        <v>1</v>
      </c>
      <c r="BU3" s="9" t="n">
        <v>1</v>
      </c>
      <c r="BV3" s="9" t="n">
        <v>1</v>
      </c>
      <c r="BW3" s="9" t="n">
        <v>2</v>
      </c>
      <c r="BX3" s="9" t="n">
        <v>2</v>
      </c>
      <c r="BY3" s="9" t="n">
        <v>2</v>
      </c>
      <c r="BZ3" s="9" t="n">
        <v>1</v>
      </c>
      <c r="CA3" s="9" t="n">
        <v>2</v>
      </c>
      <c r="CB3" s="9" t="n">
        <v>1</v>
      </c>
      <c r="CC3" s="9" t="n">
        <v>2</v>
      </c>
      <c r="CD3" s="9" t="n">
        <v>2</v>
      </c>
      <c r="CE3" s="9" t="n">
        <v>1</v>
      </c>
      <c r="CF3" s="10" t="n">
        <v>2</v>
      </c>
      <c r="CM3" s="9" t="n">
        <v>1</v>
      </c>
      <c r="CN3" s="9" t="n">
        <v>1</v>
      </c>
      <c r="CO3" s="9" t="n">
        <v>1</v>
      </c>
    </row>
    <row r="4" customFormat="false" ht="17.45" hidden="false" customHeight="true" outlineLevel="0" collapsed="false">
      <c r="G4" s="5" t="s">
        <v>140</v>
      </c>
      <c r="H4" s="11" t="n">
        <v>490</v>
      </c>
      <c r="I4" s="11" t="n">
        <v>610</v>
      </c>
      <c r="J4" s="11" t="n">
        <v>610</v>
      </c>
      <c r="K4" s="11" t="n">
        <v>670</v>
      </c>
      <c r="L4" s="11" t="n">
        <v>680</v>
      </c>
      <c r="M4" s="11" t="n">
        <v>180</v>
      </c>
      <c r="N4" s="11" t="n">
        <v>50</v>
      </c>
      <c r="O4" s="11" t="n">
        <v>400</v>
      </c>
      <c r="P4" s="11" t="n">
        <v>550</v>
      </c>
      <c r="Q4" s="11" t="n">
        <v>500</v>
      </c>
      <c r="R4" s="11" t="n">
        <v>600</v>
      </c>
      <c r="S4" s="11" t="n">
        <v>630</v>
      </c>
      <c r="T4" s="11" t="n">
        <v>40</v>
      </c>
      <c r="U4" s="11" t="n">
        <v>60</v>
      </c>
      <c r="V4" s="11" t="n">
        <v>140</v>
      </c>
      <c r="W4" s="11" t="n">
        <v>150</v>
      </c>
      <c r="X4" s="11" t="n">
        <v>140</v>
      </c>
      <c r="Y4" s="11" t="n">
        <v>350</v>
      </c>
      <c r="Z4" s="11" t="n">
        <v>40</v>
      </c>
      <c r="AA4" s="11" t="n">
        <v>35</v>
      </c>
      <c r="AB4" s="11" t="n">
        <v>180</v>
      </c>
      <c r="AC4" s="11" t="n">
        <v>130</v>
      </c>
      <c r="AD4" s="11" t="n">
        <v>85</v>
      </c>
      <c r="AE4" s="11" t="n">
        <v>100</v>
      </c>
      <c r="AF4" s="11" t="n">
        <v>80</v>
      </c>
      <c r="AG4" s="11" t="n">
        <v>120</v>
      </c>
      <c r="AH4" s="11" t="n">
        <v>800</v>
      </c>
      <c r="AI4" s="11" t="n">
        <v>275</v>
      </c>
      <c r="AJ4" s="11" t="n">
        <v>720</v>
      </c>
      <c r="AK4" s="11" t="n">
        <v>710</v>
      </c>
      <c r="AL4" s="11" t="n">
        <v>450</v>
      </c>
      <c r="AM4" s="11" t="n">
        <v>170</v>
      </c>
      <c r="AN4" s="11" t="n">
        <v>81</v>
      </c>
      <c r="AO4" s="11" t="n">
        <v>81</v>
      </c>
      <c r="AP4" s="11" t="n">
        <v>80</v>
      </c>
      <c r="AQ4" s="11" t="n">
        <v>80</v>
      </c>
      <c r="AR4" s="11" t="n">
        <v>53</v>
      </c>
      <c r="AS4" s="11" t="n">
        <v>53</v>
      </c>
      <c r="AT4" s="11" t="n">
        <v>108</v>
      </c>
      <c r="AU4" s="11" t="n">
        <v>108</v>
      </c>
      <c r="AV4" s="11" t="n">
        <v>108</v>
      </c>
      <c r="AW4" s="11" t="n">
        <v>108</v>
      </c>
      <c r="AX4" s="11" t="n">
        <v>108</v>
      </c>
      <c r="AY4" s="11" t="n">
        <v>54</v>
      </c>
      <c r="AZ4" s="11" t="n">
        <v>108</v>
      </c>
      <c r="BA4" s="11" t="n">
        <v>54</v>
      </c>
      <c r="BB4" s="11" t="n">
        <v>70</v>
      </c>
      <c r="BC4" s="11" t="n">
        <v>70</v>
      </c>
      <c r="BD4" s="11" t="n">
        <v>70</v>
      </c>
      <c r="BE4" s="11" t="n">
        <v>70</v>
      </c>
      <c r="BF4" s="11" t="n">
        <v>70</v>
      </c>
      <c r="BG4" s="11" t="n">
        <v>70</v>
      </c>
      <c r="BH4" s="11" t="n">
        <v>88</v>
      </c>
      <c r="BI4" s="11" t="n">
        <v>135</v>
      </c>
      <c r="BJ4" s="11" t="n">
        <v>70</v>
      </c>
      <c r="BK4" s="11" t="n">
        <v>140</v>
      </c>
      <c r="BL4" s="11" t="n">
        <v>74</v>
      </c>
      <c r="BM4" s="11" t="n">
        <v>136</v>
      </c>
      <c r="BN4" s="11" t="n">
        <v>70</v>
      </c>
      <c r="BO4" s="11" t="n">
        <v>139</v>
      </c>
      <c r="BP4" s="11" t="n">
        <v>70</v>
      </c>
      <c r="BQ4" s="11" t="n">
        <v>40</v>
      </c>
      <c r="BR4" s="11" t="n">
        <v>40</v>
      </c>
      <c r="BS4" s="11" t="n">
        <v>200</v>
      </c>
      <c r="BT4" s="11" t="n">
        <v>100</v>
      </c>
      <c r="BU4" s="11" t="n">
        <v>280</v>
      </c>
      <c r="BV4" s="11" t="n">
        <v>158</v>
      </c>
      <c r="BW4" s="11" t="n">
        <v>69</v>
      </c>
      <c r="BX4" s="11" t="n">
        <v>121</v>
      </c>
      <c r="BY4" s="11" t="n">
        <v>70</v>
      </c>
      <c r="BZ4" s="11" t="n">
        <v>74</v>
      </c>
      <c r="CA4" s="11" t="n">
        <v>74</v>
      </c>
      <c r="CB4" s="11" t="n">
        <v>50</v>
      </c>
      <c r="CC4" s="11" t="n">
        <v>59</v>
      </c>
      <c r="CD4" s="11" t="n">
        <v>36</v>
      </c>
      <c r="CE4" s="11" t="n">
        <v>36</v>
      </c>
      <c r="CF4" s="12" t="n">
        <v>77</v>
      </c>
      <c r="CM4" s="11" t="n">
        <v>70</v>
      </c>
      <c r="CN4" s="11" t="n">
        <v>123</v>
      </c>
      <c r="CO4" s="11" t="n">
        <v>178</v>
      </c>
    </row>
    <row r="5" customFormat="false" ht="18" hidden="false" customHeight="true" outlineLevel="0" collapsed="false">
      <c r="G5" s="1" t="s">
        <v>141</v>
      </c>
      <c r="H5" s="13" t="n">
        <v>1</v>
      </c>
      <c r="I5" s="13" t="n">
        <v>1</v>
      </c>
      <c r="J5" s="13" t="n">
        <v>0.6</v>
      </c>
      <c r="K5" s="14" t="n">
        <v>0</v>
      </c>
      <c r="L5" s="13" t="n">
        <v>1</v>
      </c>
      <c r="M5" s="13" t="n">
        <v>1</v>
      </c>
      <c r="N5" s="13" t="n">
        <v>0.5</v>
      </c>
      <c r="O5" s="13" t="n">
        <v>1</v>
      </c>
      <c r="P5" s="13" t="n">
        <v>1</v>
      </c>
      <c r="Q5" s="13" t="n">
        <v>1</v>
      </c>
      <c r="R5" s="13" t="n">
        <v>1</v>
      </c>
      <c r="S5" s="13" t="n">
        <v>1</v>
      </c>
      <c r="T5" s="13" t="n">
        <v>1</v>
      </c>
      <c r="U5" s="13" t="n">
        <v>1</v>
      </c>
      <c r="V5" s="13" t="n">
        <v>1</v>
      </c>
      <c r="W5" s="13" t="n">
        <v>1</v>
      </c>
      <c r="X5" s="13" t="n">
        <v>1</v>
      </c>
      <c r="Y5" s="13" t="n">
        <v>1</v>
      </c>
      <c r="Z5" s="13" t="n">
        <v>1</v>
      </c>
      <c r="AA5" s="13" t="n">
        <v>1</v>
      </c>
      <c r="AB5" s="13" t="n">
        <v>1</v>
      </c>
      <c r="AC5" s="13" t="n">
        <v>1</v>
      </c>
      <c r="AD5" s="13" t="n">
        <v>1</v>
      </c>
      <c r="AE5" s="13" t="n">
        <v>1</v>
      </c>
      <c r="AF5" s="13" t="n">
        <v>1</v>
      </c>
      <c r="AG5" s="14" t="n">
        <v>0</v>
      </c>
      <c r="AH5" s="13" t="n">
        <v>1</v>
      </c>
      <c r="AI5" s="13" t="n">
        <v>1</v>
      </c>
      <c r="AJ5" s="13" t="n">
        <v>1</v>
      </c>
      <c r="AK5" s="13" t="n">
        <v>1</v>
      </c>
      <c r="AL5" s="13" t="n">
        <v>1</v>
      </c>
      <c r="AM5" s="13" t="n">
        <v>1</v>
      </c>
      <c r="AN5" s="13" t="n">
        <v>1</v>
      </c>
      <c r="AO5" s="13" t="n">
        <v>1.2</v>
      </c>
      <c r="AP5" s="13" t="n">
        <v>1</v>
      </c>
      <c r="AQ5" s="13" t="n">
        <v>1</v>
      </c>
      <c r="AR5" s="13" t="n">
        <v>1</v>
      </c>
      <c r="AS5" s="13" t="n">
        <v>1.2</v>
      </c>
      <c r="AT5" s="13" t="n">
        <v>0.7</v>
      </c>
      <c r="AU5" s="13" t="n">
        <v>0.5</v>
      </c>
      <c r="AV5" s="13" t="n">
        <v>0.7</v>
      </c>
      <c r="AW5" s="13" t="n">
        <v>0.5</v>
      </c>
      <c r="AX5" s="13" t="n">
        <v>0.7</v>
      </c>
      <c r="AY5" s="13" t="n">
        <v>0.5</v>
      </c>
      <c r="AZ5" s="13" t="n">
        <v>0.7</v>
      </c>
      <c r="BA5" s="13" t="n">
        <v>0.5</v>
      </c>
      <c r="BB5" s="13" t="n">
        <v>0.5</v>
      </c>
      <c r="BC5" s="13" t="n">
        <v>0.5</v>
      </c>
      <c r="BD5" s="13" t="n">
        <v>0.5</v>
      </c>
      <c r="BE5" s="13" t="n">
        <v>0.5</v>
      </c>
      <c r="BF5" s="13" t="n">
        <v>1</v>
      </c>
      <c r="BG5" s="13" t="n">
        <v>1</v>
      </c>
      <c r="BH5" s="13" t="n">
        <v>1</v>
      </c>
      <c r="BI5" s="13" t="n">
        <v>1</v>
      </c>
      <c r="BJ5" s="13" t="n">
        <v>1</v>
      </c>
      <c r="BK5" s="13" t="n">
        <v>1</v>
      </c>
      <c r="BL5" s="13" t="n">
        <v>1</v>
      </c>
      <c r="BM5" s="13" t="n">
        <v>1</v>
      </c>
      <c r="BN5" s="13" t="n">
        <v>1</v>
      </c>
      <c r="BO5" s="13" t="n">
        <v>0.5</v>
      </c>
      <c r="BP5" s="13" t="n">
        <v>1</v>
      </c>
      <c r="BQ5" s="13" t="n">
        <v>1</v>
      </c>
      <c r="BR5" s="13" t="n">
        <v>1</v>
      </c>
      <c r="BS5" s="13" t="n">
        <v>1</v>
      </c>
      <c r="BT5" s="13" t="n">
        <v>1</v>
      </c>
      <c r="BU5" s="13" t="n">
        <v>1</v>
      </c>
      <c r="BV5" s="13" t="n">
        <v>1</v>
      </c>
      <c r="BW5" s="13" t="n">
        <v>1</v>
      </c>
      <c r="BX5" s="13" t="n">
        <v>1</v>
      </c>
      <c r="BY5" s="13" t="n">
        <v>1</v>
      </c>
      <c r="BZ5" s="13" t="n">
        <v>1</v>
      </c>
      <c r="CA5" s="13" t="n">
        <v>1</v>
      </c>
      <c r="CB5" s="13" t="n">
        <v>1</v>
      </c>
      <c r="CC5" s="13" t="n">
        <v>1</v>
      </c>
      <c r="CD5" s="13" t="n">
        <v>1</v>
      </c>
      <c r="CE5" s="13" t="n">
        <v>1</v>
      </c>
      <c r="CF5" s="15" t="n">
        <v>1</v>
      </c>
      <c r="CM5" s="13" t="n">
        <v>1</v>
      </c>
      <c r="CN5" s="13" t="n">
        <v>1</v>
      </c>
      <c r="CO5" s="13" t="n">
        <v>1</v>
      </c>
    </row>
    <row r="6" customFormat="false" ht="20.1" hidden="false" customHeight="true" outlineLevel="0" collapsed="false">
      <c r="A6" s="5" t="s">
        <v>142</v>
      </c>
      <c r="B6" s="5"/>
      <c r="C6" s="0" t="n">
        <v>0.8</v>
      </c>
      <c r="G6" s="5" t="s">
        <v>143</v>
      </c>
      <c r="H6" s="16" t="n">
        <f aca="false">MAX(LOG10(H4/7),$C$6)*H5</f>
        <v>1.84509804001426</v>
      </c>
      <c r="I6" s="16" t="n">
        <f aca="false">MAX(LOG10(I4/7),$C$6)*I5</f>
        <v>1.94023179499651</v>
      </c>
      <c r="J6" s="16" t="n">
        <f aca="false">MAX(LOG10(J4/7),$C$6)*J5</f>
        <v>1.16413907699791</v>
      </c>
      <c r="K6" s="16" t="n">
        <f aca="false">MAX(LOG10(K4/7),$C$6)*K5</f>
        <v>0</v>
      </c>
      <c r="L6" s="16" t="n">
        <f aca="false">MAX(LOG10(L4/7),$C$6)*L5</f>
        <v>1.98741087269198</v>
      </c>
      <c r="M6" s="16" t="n">
        <f aca="false">MAX(LOG10(M4/7),$C$6)*M5</f>
        <v>1.41017446508905</v>
      </c>
      <c r="N6" s="16" t="n">
        <f aca="false">MAX(LOG10(N4/7),$C$6)*N5</f>
        <v>0.426935982160881</v>
      </c>
      <c r="O6" s="16" t="n">
        <f aca="false">MAX(LOG10(O4/7),$C$6)*O5</f>
        <v>1.75696195131371</v>
      </c>
      <c r="P6" s="16" t="n">
        <f aca="false">MAX(LOG10(P4/7),$C$6)*P5</f>
        <v>1.89526464947999</v>
      </c>
      <c r="Q6" s="16" t="n">
        <f aca="false">MAX(LOG10(Q4/7),$C$6)*Q5</f>
        <v>1.85387196432176</v>
      </c>
      <c r="R6" s="16" t="n">
        <f aca="false">MAX(LOG10(R4/7),$C$6)*R5</f>
        <v>1.93305321036939</v>
      </c>
      <c r="S6" s="16" t="n">
        <f aca="false">MAX(LOG10(S4/7),$C$6)*S5</f>
        <v>1.95424250943932</v>
      </c>
      <c r="T6" s="16" t="n">
        <f aca="false">MAX(LOG10(T4/7),$C$6)*T5</f>
        <v>0.8</v>
      </c>
      <c r="U6" s="16" t="n">
        <f aca="false">MAX(LOG10(U4/7),$C$6)*U5</f>
        <v>0.933053210369387</v>
      </c>
      <c r="V6" s="16" t="n">
        <f aca="false">MAX(LOG10(V4/7),$C$6)*V5</f>
        <v>1.30102999566398</v>
      </c>
      <c r="W6" s="16" t="n">
        <f aca="false">MAX(LOG10(W4/7),$C$6)*W5</f>
        <v>1.33099321904142</v>
      </c>
      <c r="X6" s="16" t="n">
        <f aca="false">MAX(LOG10(X4/7),$C$6)*X5</f>
        <v>1.30102999566398</v>
      </c>
      <c r="Y6" s="16" t="n">
        <f aca="false">MAX(LOG10(Y4/7),$C$6)*Y5</f>
        <v>1.69897000433602</v>
      </c>
      <c r="Z6" s="16" t="n">
        <f aca="false">MAX(LOG10(Z4/7),$C$6)*Z5</f>
        <v>0.8</v>
      </c>
      <c r="AA6" s="16" t="n">
        <f aca="false">MAX(LOG10(AA4/7),$C$6)*AA5</f>
        <v>0.8</v>
      </c>
      <c r="AB6" s="16" t="n">
        <f aca="false">MAX(LOG10(AB4/7),$C$6)*AB5</f>
        <v>1.41017446508905</v>
      </c>
      <c r="AC6" s="16" t="n">
        <f aca="false">MAX(LOG10(AC4/7),$C$6)*AC5</f>
        <v>1.26884531229258</v>
      </c>
      <c r="AD6" s="16" t="n">
        <f aca="false">MAX(LOG10(AD4/7),$C$6)*AD5</f>
        <v>1.08432088570004</v>
      </c>
      <c r="AE6" s="16" t="n">
        <f aca="false">MAX(LOG10(AE4/7),$C$6)*AE5</f>
        <v>1.15490195998574</v>
      </c>
      <c r="AF6" s="16" t="n">
        <f aca="false">MAX(LOG10(AF4/7),$C$6)*AF5</f>
        <v>1.05799194697769</v>
      </c>
      <c r="AG6" s="16" t="n">
        <f aca="false">MAX(LOG10(AG4/7),$C$6)*AG5</f>
        <v>0</v>
      </c>
      <c r="AH6" s="16" t="n">
        <f aca="false">MAX(LOG10(AH4/7),$C$6)*AH5</f>
        <v>2.05799194697769</v>
      </c>
      <c r="AI6" s="16" t="n">
        <f aca="false">MAX(LOG10(AI4/7),$C$6)*AI5</f>
        <v>1.59423465381601</v>
      </c>
      <c r="AJ6" s="16" t="n">
        <f aca="false">MAX(LOG10(AJ4/7),$C$6)*AJ5</f>
        <v>2.01223445641701</v>
      </c>
      <c r="AK6" s="16" t="n">
        <f aca="false">MAX(LOG10(AK4/7),$C$6)*AK5</f>
        <v>2.00616030870482</v>
      </c>
      <c r="AL6" s="16" t="n">
        <f aca="false">MAX(LOG10(AL4/7),$C$6)*AL5</f>
        <v>1.80811447376109</v>
      </c>
      <c r="AM6" s="16" t="n">
        <f aca="false">MAX(LOG10(AM4/7),$C$6)*AM5</f>
        <v>1.38535088136402</v>
      </c>
      <c r="AN6" s="16" t="n">
        <f aca="false">MAX(LOG10(AN4/7),$C$6)*AN5</f>
        <v>1.06338697886439</v>
      </c>
      <c r="AO6" s="16" t="n">
        <f aca="false">MAX(LOG10(AO4/7),$C$6)*AO5</f>
        <v>1.27606437463727</v>
      </c>
      <c r="AP6" s="16" t="n">
        <f aca="false">MAX(LOG10(AP4/7),$C$6)*AP5</f>
        <v>1.05799194697769</v>
      </c>
      <c r="AQ6" s="16" t="n">
        <f aca="false">MAX(LOG10(AQ4/7),$C$6)*AQ5</f>
        <v>1.05799194697769</v>
      </c>
      <c r="AR6" s="16" t="n">
        <f aca="false">MAX(LOG10(AR4/7),$C$6)*AR5</f>
        <v>0.879177829586532</v>
      </c>
      <c r="AS6" s="16" t="n">
        <f aca="false">MAX(LOG10(AS4/7),$C$6)*AS5</f>
        <v>1.05501339550384</v>
      </c>
      <c r="AT6" s="16" t="n">
        <f aca="false">MAX(LOG10(AT4/7),$C$6)*AT5</f>
        <v>0.831828000830885</v>
      </c>
      <c r="AU6" s="16" t="n">
        <f aca="false">MAX(LOG10(AU4/7),$C$6)*AU5</f>
        <v>0.594162857736346</v>
      </c>
      <c r="AV6" s="16" t="n">
        <f aca="false">MAX(LOG10(AV4/7),$C$6)*AV5</f>
        <v>0.831828000830885</v>
      </c>
      <c r="AW6" s="16" t="n">
        <f aca="false">MAX(LOG10(AW4/7),$C$6)*AW5</f>
        <v>0.594162857736346</v>
      </c>
      <c r="AX6" s="16" t="n">
        <f aca="false">MAX(LOG10(AX4/7),$C$6)*AX5</f>
        <v>0.831828000830885</v>
      </c>
      <c r="AY6" s="16" t="n">
        <f aca="false">MAX(LOG10(AY4/7),$C$6)*AY5</f>
        <v>0.443647859904356</v>
      </c>
      <c r="AZ6" s="16" t="n">
        <f aca="false">MAX(LOG10(AZ4/7),$C$6)*AZ5</f>
        <v>0.831828000830885</v>
      </c>
      <c r="BA6" s="16" t="n">
        <f aca="false">MAX(LOG10(BA4/7),$C$6)*BA5</f>
        <v>0.443647859904356</v>
      </c>
      <c r="BB6" s="16" t="n">
        <f aca="false">MAX(LOG10(BB4/7),$C$6)*BB5</f>
        <v>0.5</v>
      </c>
      <c r="BC6" s="16" t="n">
        <f aca="false">MAX(LOG10(BC4/7),$C$6)*BC5</f>
        <v>0.5</v>
      </c>
      <c r="BD6" s="16" t="n">
        <f aca="false">MAX(LOG10(BD4/7),$C$6)*BD5</f>
        <v>0.5</v>
      </c>
      <c r="BE6" s="16" t="n">
        <f aca="false">MAX(LOG10(BE4/7),$C$6)*BE5</f>
        <v>0.5</v>
      </c>
      <c r="BF6" s="16" t="n">
        <f aca="false">MAX(LOG10(BF4/7),$C$6)*BF5</f>
        <v>1</v>
      </c>
      <c r="BG6" s="16" t="n">
        <f aca="false">MAX(LOG10(BG4/7),$C$6)*BG5</f>
        <v>1</v>
      </c>
      <c r="BH6" s="16" t="n">
        <f aca="false">MAX(LOG10(BH4/7),$C$6)*BH5</f>
        <v>1.09938463213591</v>
      </c>
      <c r="BI6" s="16" t="n">
        <f aca="false">MAX(LOG10(BI4/7),$C$6)*BI5</f>
        <v>1.28523572848075</v>
      </c>
      <c r="BJ6" s="16" t="n">
        <f aca="false">MAX(LOG10(BJ4/7),$C$6)*BJ5</f>
        <v>1</v>
      </c>
      <c r="BK6" s="16" t="n">
        <f aca="false">MAX(LOG10(BK4/7),$C$6)*BK5</f>
        <v>1.30102999566398</v>
      </c>
      <c r="BL6" s="16" t="n">
        <f aca="false">MAX(LOG10(BL4/7),$C$6)*BL5</f>
        <v>1.02413367971672</v>
      </c>
      <c r="BM6" s="16" t="n">
        <f aca="false">MAX(LOG10(BM4/7),$C$6)*BM5</f>
        <v>1.28844086835596</v>
      </c>
      <c r="BN6" s="16" t="n">
        <f aca="false">MAX(LOG10(BN4/7),$C$6)*BN5</f>
        <v>1</v>
      </c>
      <c r="BO6" s="16" t="n">
        <f aca="false">MAX(LOG10(BO4/7),$C$6)*BO5</f>
        <v>0.648958380119919</v>
      </c>
      <c r="BP6" s="16" t="n">
        <f aca="false">MAX(LOG10(BP4/7),$C$6)*BP5</f>
        <v>1</v>
      </c>
      <c r="BQ6" s="16" t="n">
        <f aca="false">MAX(LOG10(BQ4/7),$C$6)*BQ5</f>
        <v>0.8</v>
      </c>
      <c r="BR6" s="16" t="n">
        <f aca="false">MAX(LOG10(BR4/7),$C$6)*BR5</f>
        <v>0.8</v>
      </c>
      <c r="BS6" s="16" t="n">
        <f aca="false">MAX(LOG10(BS4/7),$C$6)*BS5</f>
        <v>1.45593195564972</v>
      </c>
      <c r="BT6" s="16" t="n">
        <f aca="false">MAX(LOG10(BT4/7),$C$6)*BT5</f>
        <v>1.15490195998574</v>
      </c>
      <c r="BU6" s="16" t="n">
        <f aca="false">MAX(LOG10(BU4/7),$C$6)*BU5</f>
        <v>1.60205999132796</v>
      </c>
      <c r="BV6" s="16" t="n">
        <f aca="false">MAX(LOG10(BV4/7),$C$6)*BV5</f>
        <v>1.35355904694017</v>
      </c>
      <c r="BW6" s="16" t="n">
        <f aca="false">MAX(LOG10(BW4/7),$C$6)*BW5</f>
        <v>0.993751050722998</v>
      </c>
      <c r="BX6" s="16" t="n">
        <f aca="false">MAX(LOG10(BX4/7),$C$6)*BX5</f>
        <v>1.23768733030219</v>
      </c>
      <c r="BY6" s="16" t="n">
        <f aca="false">MAX(LOG10(BY4/7),$C$6)*BY5</f>
        <v>1</v>
      </c>
      <c r="BZ6" s="16" t="n">
        <f aca="false">MAX(LOG10(BZ4/7),$C$6)*BZ5</f>
        <v>1.02413367971672</v>
      </c>
      <c r="CA6" s="16" t="n">
        <f aca="false">MAX(LOG10(CA4/7),$C$6)*CA5</f>
        <v>1.02413367971672</v>
      </c>
      <c r="CB6" s="16" t="n">
        <f aca="false">MAX(LOG10(CB4/7),$C$6)*CB5</f>
        <v>0.853871964321762</v>
      </c>
      <c r="CC6" s="16" t="n">
        <f aca="false">MAX(LOG10(CC4/7),$C$6)*CC5</f>
        <v>0.925753971627887</v>
      </c>
      <c r="CD6" s="16" t="n">
        <f aca="false">MAX(LOG10(CD4/7),$C$6)*CD5</f>
        <v>0.8</v>
      </c>
      <c r="CE6" s="16" t="n">
        <f aca="false">MAX(LOG10(CE4/7),$C$6)*CE5</f>
        <v>0.8</v>
      </c>
      <c r="CF6" s="17" t="n">
        <f aca="false">MAX(LOG10(CF4/7),$C$6)*CF5</f>
        <v>1.04139268515823</v>
      </c>
      <c r="CG6" s="0" t="s">
        <v>144</v>
      </c>
      <c r="CH6" s="18" t="n">
        <f aca="false">SUM(H6:CF6)</f>
        <v>86.2797027441309</v>
      </c>
      <c r="CM6" s="16" t="n">
        <f aca="false">MAX(LOG10(CM4/7),$C$6)*CM5</f>
        <v>1</v>
      </c>
      <c r="CN6" s="16" t="n">
        <f aca="false">MAX(LOG10(CN4/7),$C$6)*CN5</f>
        <v>1.24480707142514</v>
      </c>
      <c r="CO6" s="16" t="n">
        <f aca="false">MAX(LOG10(CO4/7),$C$6)*CO5</f>
        <v>1.40532196229464</v>
      </c>
    </row>
    <row r="7" customFormat="false" ht="21.95" hidden="false" customHeight="true" outlineLevel="0" collapsed="false">
      <c r="G7" s="5" t="s">
        <v>145</v>
      </c>
      <c r="H7" s="9" t="n">
        <f aca="false">SUM(H9:H49)</f>
        <v>1</v>
      </c>
      <c r="I7" s="9" t="n">
        <f aca="false">SUM(I9:I49)</f>
        <v>1</v>
      </c>
      <c r="J7" s="9" t="n">
        <f aca="false">SUM(J9:J49)</f>
        <v>1</v>
      </c>
      <c r="K7" s="9" t="n">
        <f aca="false">SUM(K9:K49)</f>
        <v>0</v>
      </c>
      <c r="L7" s="9" t="n">
        <f aca="false">SUM(L9:L49)</f>
        <v>1.1</v>
      </c>
      <c r="M7" s="9" t="n">
        <f aca="false">SUM(M9:M49)</f>
        <v>1.1</v>
      </c>
      <c r="N7" s="9" t="n">
        <f aca="false">SUM(N9:N49)</f>
        <v>1</v>
      </c>
      <c r="O7" s="9" t="n">
        <f aca="false">SUM(O9:O49)</f>
        <v>1</v>
      </c>
      <c r="P7" s="9" t="n">
        <f aca="false">SUM(P9:P49)</f>
        <v>1</v>
      </c>
      <c r="Q7" s="9" t="n">
        <f aca="false">SUM(Q9:Q49)</f>
        <v>0.5</v>
      </c>
      <c r="R7" s="9" t="n">
        <f aca="false">SUM(R9:R49)</f>
        <v>1</v>
      </c>
      <c r="S7" s="9" t="n">
        <f aca="false">SUM(S9:S49)</f>
        <v>1</v>
      </c>
      <c r="T7" s="9" t="n">
        <f aca="false">SUM(T9:T49)</f>
        <v>0.9</v>
      </c>
      <c r="U7" s="9" t="n">
        <f aca="false">SUM(U9:U49)</f>
        <v>1</v>
      </c>
      <c r="V7" s="9" t="n">
        <f aca="false">SUM(V9:V49)</f>
        <v>1</v>
      </c>
      <c r="W7" s="9" t="n">
        <f aca="false">SUM(W9:W49)</f>
        <v>1</v>
      </c>
      <c r="X7" s="9" t="n">
        <f aca="false">SUM(X9:X49)</f>
        <v>1</v>
      </c>
      <c r="Y7" s="9" t="n">
        <f aca="false">SUM(Y9:Y49)</f>
        <v>1</v>
      </c>
      <c r="Z7" s="9" t="n">
        <f aca="false">SUM(Z9:Z49)</f>
        <v>1</v>
      </c>
      <c r="AA7" s="9" t="n">
        <f aca="false">SUM(AA9:AA49)</f>
        <v>1</v>
      </c>
      <c r="AB7" s="9" t="n">
        <f aca="false">SUM(AB9:AB49)</f>
        <v>1</v>
      </c>
      <c r="AC7" s="9" t="n">
        <f aca="false">SUM(AC9:AC49)</f>
        <v>1</v>
      </c>
      <c r="AD7" s="9" t="n">
        <f aca="false">SUM(AD9:AD49)</f>
        <v>1</v>
      </c>
      <c r="AE7" s="9" t="n">
        <f aca="false">SUM(AE9:AE49)</f>
        <v>1</v>
      </c>
      <c r="AF7" s="9" t="n">
        <f aca="false">SUM(AF9:AF49)</f>
        <v>1</v>
      </c>
      <c r="AG7" s="9" t="n">
        <f aca="false">SUM(AG9:AG49)</f>
        <v>0</v>
      </c>
      <c r="AH7" s="9" t="n">
        <f aca="false">SUM(AH9:AH49)</f>
        <v>1</v>
      </c>
      <c r="AI7" s="9" t="n">
        <f aca="false">SUM(AI9:AI49)</f>
        <v>1</v>
      </c>
      <c r="AJ7" s="9" t="n">
        <f aca="false">SUM(AJ9:AJ49)</f>
        <v>1</v>
      </c>
      <c r="AK7" s="9" t="n">
        <f aca="false">SUM(AK9:AK49)</f>
        <v>1</v>
      </c>
      <c r="AL7" s="9" t="n">
        <f aca="false">SUM(AL9:AL49)</f>
        <v>0.7</v>
      </c>
      <c r="AM7" s="9" t="n">
        <f aca="false">SUM(AM9:AM49)</f>
        <v>1.2</v>
      </c>
      <c r="AN7" s="9" t="n">
        <f aca="false">SUM(AN9:AN49)</f>
        <v>1</v>
      </c>
      <c r="AO7" s="9" t="n">
        <f aca="false">SUM(AO9:AO49)</f>
        <v>1</v>
      </c>
      <c r="AP7" s="9" t="n">
        <f aca="false">SUM(AP9:AP49)</f>
        <v>1</v>
      </c>
      <c r="AQ7" s="9" t="n">
        <f aca="false">SUM(AQ9:AQ49)</f>
        <v>1</v>
      </c>
      <c r="AR7" s="9" t="n">
        <f aca="false">SUM(AR9:AR49)</f>
        <v>1</v>
      </c>
      <c r="AS7" s="9" t="n">
        <f aca="false">SUM(AS9:AS49)</f>
        <v>1</v>
      </c>
      <c r="AT7" s="9" t="n">
        <f aca="false">SUM(AT9:AT49)</f>
        <v>1</v>
      </c>
      <c r="AU7" s="9" t="n">
        <f aca="false">SUM(AU9:AU49)</f>
        <v>1</v>
      </c>
      <c r="AV7" s="9" t="n">
        <f aca="false">SUM(AV9:AV49)</f>
        <v>1</v>
      </c>
      <c r="AW7" s="9" t="n">
        <f aca="false">SUM(AW9:AW49)</f>
        <v>1</v>
      </c>
      <c r="AX7" s="9" t="n">
        <f aca="false">SUM(AX9:AX49)</f>
        <v>1</v>
      </c>
      <c r="AY7" s="9" t="n">
        <f aca="false">SUM(AY9:AY49)</f>
        <v>1</v>
      </c>
      <c r="AZ7" s="9" t="n">
        <f aca="false">SUM(AZ9:AZ49)</f>
        <v>1</v>
      </c>
      <c r="BA7" s="9" t="n">
        <f aca="false">SUM(BA9:BA49)</f>
        <v>1</v>
      </c>
      <c r="BB7" s="9" t="n">
        <f aca="false">SUM(BB9:BB49)</f>
        <v>1</v>
      </c>
      <c r="BC7" s="9" t="n">
        <f aca="false">SUM(BC9:BC49)</f>
        <v>1</v>
      </c>
      <c r="BD7" s="9" t="n">
        <f aca="false">SUM(BD9:BD49)</f>
        <v>1</v>
      </c>
      <c r="BE7" s="9" t="n">
        <f aca="false">SUM(BE9:BE49)</f>
        <v>1</v>
      </c>
      <c r="BF7" s="9" t="n">
        <f aca="false">SUM(BF9:BF49)</f>
        <v>1</v>
      </c>
      <c r="BG7" s="9" t="n">
        <f aca="false">SUM(BG9:BG49)</f>
        <v>1</v>
      </c>
      <c r="BH7" s="9" t="n">
        <f aca="false">SUM(BH9:BH49)</f>
        <v>1</v>
      </c>
      <c r="BI7" s="9" t="n">
        <f aca="false">SUM(BI9:BI49)</f>
        <v>1</v>
      </c>
      <c r="BJ7" s="9" t="n">
        <f aca="false">SUM(BJ9:BJ49)</f>
        <v>1</v>
      </c>
      <c r="BK7" s="9" t="n">
        <f aca="false">SUM(BK9:BK49)</f>
        <v>1</v>
      </c>
      <c r="BL7" s="9" t="n">
        <f aca="false">SUM(BL9:BL49)</f>
        <v>1</v>
      </c>
      <c r="BM7" s="9" t="n">
        <f aca="false">SUM(BM9:BM49)</f>
        <v>1</v>
      </c>
      <c r="BN7" s="9" t="n">
        <f aca="false">SUM(BN9:BN49)</f>
        <v>1</v>
      </c>
      <c r="BO7" s="9" t="n">
        <f aca="false">SUM(BO9:BO49)</f>
        <v>1</v>
      </c>
      <c r="BP7" s="9" t="n">
        <f aca="false">SUM(BP9:BP49)</f>
        <v>1</v>
      </c>
      <c r="BQ7" s="9" t="n">
        <f aca="false">SUM(BQ9:BQ49)</f>
        <v>1</v>
      </c>
      <c r="BR7" s="9" t="n">
        <f aca="false">SUM(BR9:BR49)</f>
        <v>1</v>
      </c>
      <c r="BS7" s="9" t="n">
        <f aca="false">SUM(BS9:BS49)</f>
        <v>0.6</v>
      </c>
      <c r="BT7" s="9" t="n">
        <f aca="false">SUM(BT9:BT49)</f>
        <v>1</v>
      </c>
      <c r="BU7" s="9" t="n">
        <f aca="false">SUM(BU9:BU49)</f>
        <v>1</v>
      </c>
      <c r="BV7" s="9" t="n">
        <f aca="false">SUM(BV9:BV49)</f>
        <v>1</v>
      </c>
      <c r="BW7" s="9" t="n">
        <f aca="false">SUM(BW9:BW49)</f>
        <v>1</v>
      </c>
      <c r="BX7" s="9" t="n">
        <f aca="false">SUM(BX9:BX49)</f>
        <v>1</v>
      </c>
      <c r="BY7" s="9" t="n">
        <f aca="false">SUM(BY9:BY49)</f>
        <v>1</v>
      </c>
      <c r="BZ7" s="9" t="n">
        <f aca="false">SUM(BZ9:BZ49)</f>
        <v>1</v>
      </c>
      <c r="CA7" s="9" t="n">
        <f aca="false">SUM(CA9:CA49)</f>
        <v>1</v>
      </c>
      <c r="CB7" s="9" t="n">
        <f aca="false">SUM(CB9:CB49)</f>
        <v>1</v>
      </c>
      <c r="CC7" s="9" t="n">
        <f aca="false">SUM(CC9:CC49)</f>
        <v>1</v>
      </c>
      <c r="CD7" s="9" t="n">
        <f aca="false">SUM(CD9:CD49)</f>
        <v>1</v>
      </c>
      <c r="CE7" s="9" t="n">
        <f aca="false">SUM(CE9:CE49)</f>
        <v>1</v>
      </c>
      <c r="CF7" s="10" t="n">
        <f aca="false">SUM(CF9:CF49)</f>
        <v>0</v>
      </c>
      <c r="CM7" s="9" t="n">
        <f aca="false">SUM(CM9:CM49)</f>
        <v>0</v>
      </c>
      <c r="CN7" s="9" t="n">
        <f aca="false">SUM(CN9:CN49)</f>
        <v>0</v>
      </c>
      <c r="CO7" s="9" t="n">
        <f aca="false">SUM(CO9:CO49)</f>
        <v>0</v>
      </c>
    </row>
    <row r="8" customFormat="false" ht="30" hidden="false" customHeight="false" outlineLevel="0" collapsed="false">
      <c r="A8" s="19" t="s">
        <v>146</v>
      </c>
      <c r="B8" s="19"/>
      <c r="C8" s="19" t="s">
        <v>147</v>
      </c>
      <c r="D8" s="19" t="s">
        <v>148</v>
      </c>
      <c r="E8" s="19" t="s">
        <v>149</v>
      </c>
      <c r="F8" s="19" t="s">
        <v>150</v>
      </c>
      <c r="G8" s="19" t="s">
        <v>151</v>
      </c>
      <c r="H8" s="20" t="n">
        <f aca="false">IF(H5&lt;&gt;0,H7-1,H7)</f>
        <v>0</v>
      </c>
      <c r="I8" s="20" t="n">
        <f aca="false">IF(I5&lt;&gt;0,I7-1,I7)</f>
        <v>0</v>
      </c>
      <c r="J8" s="20" t="n">
        <f aca="false">IF(J5&lt;&gt;0,J7-1,J7)</f>
        <v>0</v>
      </c>
      <c r="K8" s="20" t="n">
        <f aca="false">IF(K5&lt;&gt;0,K7-1,K7)</f>
        <v>0</v>
      </c>
      <c r="L8" s="20" t="n">
        <f aca="false">IF(L5&lt;&gt;0,L7-1,L7)</f>
        <v>0.1</v>
      </c>
      <c r="M8" s="20" t="n">
        <f aca="false">IF(M5&lt;&gt;0,M7-1,M7)</f>
        <v>0.1</v>
      </c>
      <c r="N8" s="20" t="n">
        <f aca="false">IF(N5&lt;&gt;0,N7-1,N7)</f>
        <v>0</v>
      </c>
      <c r="O8" s="20" t="n">
        <f aca="false">IF(O5&lt;&gt;0,O7-1,O7)</f>
        <v>0</v>
      </c>
      <c r="P8" s="20" t="n">
        <f aca="false">IF(P5&lt;&gt;0,P7-1,P7)</f>
        <v>0</v>
      </c>
      <c r="Q8" s="20" t="n">
        <f aca="false">IF(Q5&lt;&gt;0,Q7-1,Q7)</f>
        <v>-0.5</v>
      </c>
      <c r="R8" s="20" t="n">
        <f aca="false">IF(R5&lt;&gt;0,R7-1,R7)</f>
        <v>0</v>
      </c>
      <c r="S8" s="20" t="n">
        <f aca="false">IF(S5&lt;&gt;0,S7-1,S7)</f>
        <v>0</v>
      </c>
      <c r="T8" s="20" t="n">
        <f aca="false">IF(T5&lt;&gt;0,T7-1,T7)</f>
        <v>-0.1</v>
      </c>
      <c r="U8" s="20" t="n">
        <f aca="false">IF(U5&lt;&gt;0,U7-1,U7)</f>
        <v>0</v>
      </c>
      <c r="V8" s="20" t="n">
        <f aca="false">IF(V5&lt;&gt;0,V7-1,V7)</f>
        <v>0</v>
      </c>
      <c r="W8" s="20" t="n">
        <f aca="false">IF(W5&lt;&gt;0,W7-1,W7)</f>
        <v>0</v>
      </c>
      <c r="X8" s="20" t="n">
        <f aca="false">IF(X5&lt;&gt;0,X7-1,X7)</f>
        <v>0</v>
      </c>
      <c r="Y8" s="20" t="n">
        <f aca="false">IF(Y5&lt;&gt;0,Y7-1,Y7)</f>
        <v>0</v>
      </c>
      <c r="Z8" s="20" t="n">
        <f aca="false">IF(Z5&lt;&gt;0,Z7-1,Z7)</f>
        <v>0</v>
      </c>
      <c r="AA8" s="20" t="n">
        <f aca="false">IF(AA5&lt;&gt;0,AA7-1,AA7)</f>
        <v>0</v>
      </c>
      <c r="AB8" s="20" t="n">
        <f aca="false">IF(AB5&lt;&gt;0,AB7-1,AB7)</f>
        <v>0</v>
      </c>
      <c r="AC8" s="20" t="n">
        <f aca="false">IF(AC5&lt;&gt;0,AC7-1,AC7)</f>
        <v>0</v>
      </c>
      <c r="AD8" s="20" t="n">
        <f aca="false">IF(AD5&lt;&gt;0,AD7-1,AD7)</f>
        <v>0</v>
      </c>
      <c r="AE8" s="20" t="n">
        <f aca="false">IF(AE5&lt;&gt;0,AE7-1,AE7)</f>
        <v>0</v>
      </c>
      <c r="AF8" s="20" t="n">
        <f aca="false">IF(AF5&lt;&gt;0,AF7-1,AF7)</f>
        <v>0</v>
      </c>
      <c r="AG8" s="20" t="n">
        <f aca="false">IF(AG5&lt;&gt;0,AG7-1,AG7)</f>
        <v>0</v>
      </c>
      <c r="AH8" s="20" t="n">
        <f aca="false">IF(AH5&lt;&gt;0,AH7-1,AH7)</f>
        <v>0</v>
      </c>
      <c r="AI8" s="20" t="n">
        <f aca="false">IF(AI5&lt;&gt;0,AI7-1,AI7)</f>
        <v>0</v>
      </c>
      <c r="AJ8" s="20" t="n">
        <f aca="false">IF(AJ5&lt;&gt;0,AJ7-1,AJ7)</f>
        <v>0</v>
      </c>
      <c r="AK8" s="20" t="n">
        <f aca="false">IF(AK5&lt;&gt;0,AK7-1,AK7)</f>
        <v>0</v>
      </c>
      <c r="AL8" s="20" t="n">
        <f aca="false">IF(AL5&lt;&gt;0,AL7-1,AL7)</f>
        <v>-0.3</v>
      </c>
      <c r="AM8" s="20" t="n">
        <f aca="false">IF(AM5&lt;&gt;0,AM7-1,AM7)</f>
        <v>0.2</v>
      </c>
      <c r="AN8" s="20" t="n">
        <f aca="false">IF(AN5&lt;&gt;0,AN7-1,AN7)</f>
        <v>0</v>
      </c>
      <c r="AO8" s="20" t="n">
        <f aca="false">IF(AO5&lt;&gt;0,AO7-1,AO7)</f>
        <v>0</v>
      </c>
      <c r="AP8" s="20" t="n">
        <f aca="false">IF(AP5&lt;&gt;0,AP7-1,AP7)</f>
        <v>0</v>
      </c>
      <c r="AQ8" s="20" t="n">
        <f aca="false">IF(AQ5&lt;&gt;0,AQ7-1,AQ7)</f>
        <v>0</v>
      </c>
      <c r="AR8" s="20" t="n">
        <f aca="false">IF(AR5&lt;&gt;0,AR7-1,AR7)</f>
        <v>0</v>
      </c>
      <c r="AS8" s="20" t="n">
        <f aca="false">IF(AS5&lt;&gt;0,AS7-1,AS7)</f>
        <v>0</v>
      </c>
      <c r="AT8" s="20" t="n">
        <f aca="false">IF(AT5&lt;&gt;0,AT7-1,AT7)</f>
        <v>0</v>
      </c>
      <c r="AU8" s="20" t="n">
        <f aca="false">IF(AU5&lt;&gt;0,AU7-1,AU7)</f>
        <v>0</v>
      </c>
      <c r="AV8" s="20" t="n">
        <f aca="false">IF(AV5&lt;&gt;0,AV7-1,AV7)</f>
        <v>0</v>
      </c>
      <c r="AW8" s="20" t="n">
        <f aca="false">IF(AW5&lt;&gt;0,AW7-1,AW7)</f>
        <v>0</v>
      </c>
      <c r="AX8" s="20" t="n">
        <f aca="false">IF(AX5&lt;&gt;0,AX7-1,AX7)</f>
        <v>0</v>
      </c>
      <c r="AY8" s="20" t="n">
        <f aca="false">IF(AY5&lt;&gt;0,AY7-1,AY7)</f>
        <v>0</v>
      </c>
      <c r="AZ8" s="20" t="n">
        <f aca="false">IF(AZ5&lt;&gt;0,AZ7-1,AZ7)</f>
        <v>0</v>
      </c>
      <c r="BA8" s="20" t="n">
        <f aca="false">IF(BA5&lt;&gt;0,BA7-1,BA7)</f>
        <v>0</v>
      </c>
      <c r="BB8" s="20" t="n">
        <f aca="false">IF(BB5&lt;&gt;0,BB7-1,BB7)</f>
        <v>0</v>
      </c>
      <c r="BC8" s="20" t="n">
        <f aca="false">IF(BC5&lt;&gt;0,BC7-1,BC7)</f>
        <v>0</v>
      </c>
      <c r="BD8" s="20" t="n">
        <f aca="false">IF(BD5&lt;&gt;0,BD7-1,BD7)</f>
        <v>0</v>
      </c>
      <c r="BE8" s="20" t="n">
        <f aca="false">IF(BE5&lt;&gt;0,BE7-1,BE7)</f>
        <v>0</v>
      </c>
      <c r="BF8" s="20" t="n">
        <f aca="false">IF(BF5&lt;&gt;0,BF7-1,BF7)</f>
        <v>0</v>
      </c>
      <c r="BG8" s="20" t="n">
        <f aca="false">IF(BG5&lt;&gt;0,BG7-1,BG7)</f>
        <v>0</v>
      </c>
      <c r="BH8" s="20" t="n">
        <f aca="false">IF(BH5&lt;&gt;0,BH7-1,BH7)</f>
        <v>0</v>
      </c>
      <c r="BI8" s="20" t="n">
        <f aca="false">IF(BI5&lt;&gt;0,BI7-1,BI7)</f>
        <v>0</v>
      </c>
      <c r="BJ8" s="20" t="n">
        <f aca="false">IF(BJ5&lt;&gt;0,BJ7-1,BJ7)</f>
        <v>0</v>
      </c>
      <c r="BK8" s="20" t="n">
        <f aca="false">IF(BK5&lt;&gt;0,BK7-1,BK7)</f>
        <v>0</v>
      </c>
      <c r="BL8" s="20" t="n">
        <f aca="false">IF(BL5&lt;&gt;0,BL7-1,BL7)</f>
        <v>0</v>
      </c>
      <c r="BM8" s="20" t="n">
        <f aca="false">IF(BM5&lt;&gt;0,BM7-1,BM7)</f>
        <v>0</v>
      </c>
      <c r="BN8" s="20" t="n">
        <f aca="false">IF(BN5&lt;&gt;0,BN7-1,BN7)</f>
        <v>0</v>
      </c>
      <c r="BO8" s="20" t="n">
        <f aca="false">IF(BO5&lt;&gt;0,BO7-1,BO7)</f>
        <v>0</v>
      </c>
      <c r="BP8" s="20" t="n">
        <f aca="false">IF(BP5&lt;&gt;0,BP7-1,BP7)</f>
        <v>0</v>
      </c>
      <c r="BQ8" s="20" t="n">
        <f aca="false">IF(BQ5&lt;&gt;0,BQ7-1,BQ7)</f>
        <v>0</v>
      </c>
      <c r="BR8" s="20" t="n">
        <f aca="false">IF(BR5&lt;&gt;0,BR7-1,BR7)</f>
        <v>0</v>
      </c>
      <c r="BS8" s="20" t="n">
        <f aca="false">IF(BS5&lt;&gt;0,BS7-1,BS7)</f>
        <v>-0.4</v>
      </c>
      <c r="BT8" s="20" t="n">
        <f aca="false">IF(BT5&lt;&gt;0,BT7-1,BT7)</f>
        <v>0</v>
      </c>
      <c r="BU8" s="20" t="n">
        <f aca="false">IF(BU5&lt;&gt;0,BU7-1,BU7)</f>
        <v>0</v>
      </c>
      <c r="BV8" s="20" t="n">
        <f aca="false">IF(BV5&lt;&gt;0,BV7-1,BV7)</f>
        <v>0</v>
      </c>
      <c r="BW8" s="20" t="n">
        <f aca="false">IF(BW5&lt;&gt;0,BW7-1,BW7)</f>
        <v>0</v>
      </c>
      <c r="BX8" s="20" t="n">
        <f aca="false">IF(BX5&lt;&gt;0,BX7-1,BX7)</f>
        <v>0</v>
      </c>
      <c r="BY8" s="20" t="n">
        <f aca="false">IF(BY5&lt;&gt;0,BY7-1,BY7)</f>
        <v>0</v>
      </c>
      <c r="BZ8" s="20" t="n">
        <f aca="false">IF(BZ5&lt;&gt;0,BZ7-1,BZ7)</f>
        <v>0</v>
      </c>
      <c r="CA8" s="20" t="n">
        <f aca="false">IF(CA5&lt;&gt;0,CA7-1,CA7)</f>
        <v>0</v>
      </c>
      <c r="CB8" s="20" t="n">
        <f aca="false">IF(CB5&lt;&gt;0,CB7-1,CB7)</f>
        <v>0</v>
      </c>
      <c r="CC8" s="20" t="n">
        <f aca="false">IF(CC5&lt;&gt;0,CC7-1,CC7)</f>
        <v>0</v>
      </c>
      <c r="CD8" s="20" t="n">
        <f aca="false">IF(CD5&lt;&gt;0,CD7-1,CD7)</f>
        <v>0</v>
      </c>
      <c r="CE8" s="20" t="n">
        <f aca="false">IF(CE5&lt;&gt;0,CE7-1,CE7)</f>
        <v>0</v>
      </c>
      <c r="CF8" s="21" t="n">
        <f aca="false">IF(CF5&lt;&gt;0,CF7-1,CF7)</f>
        <v>-1</v>
      </c>
      <c r="CM8" s="20" t="n">
        <f aca="false">IF(CM5&lt;&gt;0,CM7-1,CM7)</f>
        <v>-1</v>
      </c>
      <c r="CN8" s="20" t="n">
        <f aca="false">IF(CN5&lt;&gt;0,CN7-1,CN7)</f>
        <v>-1</v>
      </c>
      <c r="CO8" s="20" t="n">
        <f aca="false">IF(CO5&lt;&gt;0,CO7-1,CO7)</f>
        <v>-1</v>
      </c>
    </row>
    <row r="9" customFormat="false" ht="15" hidden="false" customHeight="false" outlineLevel="0" collapsed="false">
      <c r="A9" s="0" t="s">
        <v>152</v>
      </c>
      <c r="C9" s="0" t="s">
        <v>153</v>
      </c>
      <c r="D9" s="0" t="n">
        <v>1</v>
      </c>
      <c r="E9" s="22" t="n">
        <f aca="false">D9*$C$2</f>
        <v>2.53763831600385</v>
      </c>
      <c r="F9" s="22" t="n">
        <f aca="false">SUMPRODUCT(H$6:CF$6,H9:CF9)</f>
        <v>3.24541257263153</v>
      </c>
      <c r="G9" s="22" t="n">
        <f aca="false">F9-E9</f>
        <v>0.707774256627677</v>
      </c>
      <c r="H9" s="23"/>
      <c r="R9" s="0" t="n">
        <v>0.8</v>
      </c>
      <c r="Y9" s="1" t="n">
        <v>1</v>
      </c>
      <c r="CF9" s="24"/>
    </row>
    <row r="10" customFormat="false" ht="14.05" hidden="false" customHeight="false" outlineLevel="0" collapsed="false">
      <c r="A10" s="0" t="s">
        <v>154</v>
      </c>
      <c r="B10" s="25" t="s">
        <v>155</v>
      </c>
      <c r="C10" s="0" t="s">
        <v>153</v>
      </c>
      <c r="D10" s="0" t="n">
        <v>1</v>
      </c>
      <c r="E10" s="22" t="n">
        <f aca="false">D10*$C$2</f>
        <v>2.53763831600385</v>
      </c>
      <c r="F10" s="22" t="n">
        <f aca="false">SUMPRODUCT(H$6:CF$6,H10:CF10)</f>
        <v>3.01227753691332</v>
      </c>
      <c r="G10" s="22" t="n">
        <f aca="false">F10-E10</f>
        <v>0.474639220909473</v>
      </c>
      <c r="AJ10" s="26" t="n">
        <v>0.5</v>
      </c>
      <c r="AK10" s="1" t="n">
        <v>1</v>
      </c>
    </row>
    <row r="11" customFormat="false" ht="14.9" hidden="false" customHeight="false" outlineLevel="0" collapsed="false">
      <c r="A11" s="0" t="s">
        <v>156</v>
      </c>
      <c r="B11" s="25" t="s">
        <v>157</v>
      </c>
      <c r="C11" s="0" t="s">
        <v>153</v>
      </c>
      <c r="D11" s="0" t="n">
        <v>1</v>
      </c>
      <c r="E11" s="22" t="n">
        <f aca="false">D11*$C$2</f>
        <v>2.53763831600385</v>
      </c>
      <c r="F11" s="22" t="n">
        <f aca="false">SUMPRODUCT(H$6:CF$6,H11:CF11)</f>
        <v>2.91690233349454</v>
      </c>
      <c r="G11" s="22" t="n">
        <f aca="false">F11-E11</f>
        <v>0.379264017490684</v>
      </c>
      <c r="AE11" s="1" t="n">
        <v>0.5</v>
      </c>
      <c r="AN11" s="1" t="n">
        <v>1</v>
      </c>
      <c r="AO11" s="1" t="n">
        <v>1</v>
      </c>
      <c r="CF11" s="24"/>
    </row>
    <row r="12" customFormat="false" ht="14.9" hidden="false" customHeight="false" outlineLevel="0" collapsed="false">
      <c r="A12" s="0" t="s">
        <v>158</v>
      </c>
      <c r="C12" s="0" t="s">
        <v>153</v>
      </c>
      <c r="D12" s="0" t="n">
        <v>1</v>
      </c>
      <c r="E12" s="22" t="n">
        <f aca="false">D12*$C$2</f>
        <v>2.53763831600385</v>
      </c>
      <c r="F12" s="22" t="n">
        <f aca="false">SUMPRODUCT(H$6:CF$6,H12:CF12)</f>
        <v>1.92693598216088</v>
      </c>
      <c r="G12" s="22" t="n">
        <f aca="false">F12-E12</f>
        <v>-0.61070233384297</v>
      </c>
      <c r="Q12" s="0" t="n">
        <v>0.5</v>
      </c>
      <c r="BD12" s="1" t="n">
        <v>1</v>
      </c>
      <c r="BE12" s="1" t="n">
        <v>1</v>
      </c>
      <c r="CF12" s="24"/>
    </row>
    <row r="13" customFormat="false" ht="14.9" hidden="false" customHeight="false" outlineLevel="0" collapsed="false">
      <c r="A13" s="0" t="s">
        <v>159</v>
      </c>
      <c r="B13" s="24"/>
      <c r="C13" s="0" t="s">
        <v>153</v>
      </c>
      <c r="D13" s="24" t="n">
        <v>1</v>
      </c>
      <c r="E13" s="27" t="n">
        <f aca="false">D13*$C$2</f>
        <v>2.53763831600385</v>
      </c>
      <c r="F13" s="27" t="n">
        <f aca="false">SUMPRODUCT(H$6:CF$6,H13:CF13)</f>
        <v>2.80253349509797</v>
      </c>
      <c r="G13" s="27" t="n">
        <f aca="false">F13-E13</f>
        <v>0.264895179094119</v>
      </c>
      <c r="M13" s="24"/>
      <c r="O13" s="24"/>
      <c r="T13" s="24"/>
      <c r="AH13" s="24"/>
      <c r="AI13" s="24"/>
      <c r="AL13" s="24"/>
      <c r="AM13" s="24"/>
      <c r="AP13" s="24"/>
      <c r="AQ13" s="24"/>
      <c r="BF13" s="24"/>
      <c r="BG13" s="24"/>
      <c r="BK13" s="24"/>
      <c r="BP13" s="24"/>
      <c r="BT13" s="24"/>
      <c r="BU13" s="24"/>
      <c r="BV13" s="28" t="n">
        <v>0.5</v>
      </c>
      <c r="BW13" s="24"/>
      <c r="BX13" s="24"/>
      <c r="BY13" s="24" t="n">
        <v>0.4</v>
      </c>
      <c r="BZ13" s="24"/>
      <c r="CA13" s="24"/>
      <c r="CB13" s="24"/>
      <c r="CC13" s="29" t="n">
        <v>1</v>
      </c>
      <c r="CD13" s="24"/>
      <c r="CE13" s="29" t="n">
        <v>1</v>
      </c>
      <c r="CF13" s="24"/>
      <c r="CM13" s="24"/>
    </row>
    <row r="14" customFormat="false" ht="14.9" hidden="false" customHeight="false" outlineLevel="0" collapsed="false">
      <c r="A14" s="0" t="s">
        <v>160</v>
      </c>
      <c r="C14" s="0" t="s">
        <v>153</v>
      </c>
      <c r="D14" s="0" t="n">
        <v>1</v>
      </c>
      <c r="E14" s="22" t="n">
        <f aca="false">D14*$C$2</f>
        <v>2.53763831600385</v>
      </c>
      <c r="F14" s="22" t="n">
        <f aca="false">SUMPRODUCT(H$6:CF$6,H14:CF14)</f>
        <v>3.18963235438764</v>
      </c>
      <c r="G14" s="22" t="n">
        <f aca="false">F14-E14</f>
        <v>0.651994038383792</v>
      </c>
      <c r="P14" s="0" t="n">
        <v>0.4</v>
      </c>
      <c r="AL14" s="26" t="n">
        <v>0.4</v>
      </c>
      <c r="AM14" s="26" t="n">
        <v>0.8</v>
      </c>
      <c r="BP14" s="26" t="n">
        <v>0.6</v>
      </c>
      <c r="CF14" s="24"/>
    </row>
    <row r="15" customFormat="false" ht="15" hidden="false" customHeight="false" outlineLevel="0" collapsed="false">
      <c r="A15" s="0" t="s">
        <v>161</v>
      </c>
      <c r="C15" s="0" t="s">
        <v>153</v>
      </c>
      <c r="D15" s="0" t="n">
        <v>1</v>
      </c>
      <c r="E15" s="22" t="n">
        <f aca="false">D15*$C$2</f>
        <v>2.53763831600385</v>
      </c>
      <c r="F15" s="22" t="n">
        <f aca="false">SUMPRODUCT(H$6:CF$6,H15:CF15)</f>
        <v>2.48833157763598</v>
      </c>
      <c r="G15" s="22" t="n">
        <f aca="false">F15-E15</f>
        <v>-0.0493067383678736</v>
      </c>
      <c r="P15" s="30"/>
      <c r="AM15" s="0" t="n">
        <v>0.4</v>
      </c>
      <c r="AR15" s="1" t="n">
        <v>1</v>
      </c>
      <c r="AS15" s="1" t="n">
        <v>1</v>
      </c>
      <c r="CM15" s="24"/>
    </row>
    <row r="16" customFormat="false" ht="14.9" hidden="false" customHeight="false" outlineLevel="0" collapsed="false">
      <c r="A16" s="0" t="s">
        <v>162</v>
      </c>
      <c r="B16" s="31" t="s">
        <v>157</v>
      </c>
      <c r="C16" s="0" t="s">
        <v>153</v>
      </c>
      <c r="D16" s="24" t="n">
        <v>1</v>
      </c>
      <c r="E16" s="27" t="n">
        <f aca="false">D16*$C$2</f>
        <v>2.53763831600385</v>
      </c>
      <c r="F16" s="27" t="n">
        <f aca="false">SUMPRODUCT(H$6:CF$6,H16:CF16)</f>
        <v>2.66182101001891</v>
      </c>
      <c r="G16" s="27" t="n">
        <f aca="false">F16-E16</f>
        <v>0.124182694015061</v>
      </c>
      <c r="M16" s="24"/>
      <c r="O16" s="24"/>
      <c r="T16" s="24"/>
      <c r="AH16" s="24"/>
      <c r="AI16" s="24"/>
      <c r="AL16" s="24"/>
      <c r="AM16" s="24"/>
      <c r="AP16" s="24"/>
      <c r="AQ16" s="24"/>
      <c r="BF16" s="24"/>
      <c r="BG16" s="24"/>
      <c r="BK16" s="24"/>
      <c r="BP16" s="32" t="n">
        <v>0.4</v>
      </c>
      <c r="BT16" s="24"/>
      <c r="BU16" s="24"/>
      <c r="BV16" s="24"/>
      <c r="BW16" s="24"/>
      <c r="BX16" s="29" t="n">
        <v>1</v>
      </c>
      <c r="BY16" s="24"/>
      <c r="BZ16" s="29" t="n">
        <v>1</v>
      </c>
      <c r="CA16" s="24"/>
      <c r="CB16" s="24"/>
      <c r="CC16" s="24"/>
      <c r="CD16" s="24"/>
      <c r="CE16" s="24"/>
      <c r="CF16" s="24"/>
    </row>
    <row r="17" customFormat="false" ht="14.9" hidden="false" customHeight="false" outlineLevel="0" collapsed="false">
      <c r="A17" s="0" t="s">
        <v>163</v>
      </c>
      <c r="C17" s="0" t="s">
        <v>153</v>
      </c>
      <c r="D17" s="0" t="n">
        <v>1</v>
      </c>
      <c r="E17" s="22" t="n">
        <f aca="false">D17*$C$2</f>
        <v>2.53763831600385</v>
      </c>
      <c r="F17" s="22" t="n">
        <f aca="false">SUMPRODUCT(H$6:CF$6,H17:CF17)</f>
        <v>3.93305321036939</v>
      </c>
      <c r="G17" s="22" t="n">
        <f aca="false">F17-E17</f>
        <v>1.39541489436554</v>
      </c>
      <c r="W17" s="0" t="n">
        <v>1</v>
      </c>
      <c r="X17" s="0" t="n">
        <v>1</v>
      </c>
      <c r="AA17" s="1"/>
      <c r="AM17" s="30"/>
      <c r="AQ17" s="26"/>
      <c r="AW17" s="24"/>
      <c r="BK17" s="1" t="n">
        <v>1</v>
      </c>
      <c r="CF17" s="24"/>
      <c r="CM17" s="33"/>
    </row>
    <row r="18" customFormat="false" ht="14.9" hidden="false" customHeight="false" outlineLevel="0" collapsed="false">
      <c r="A18" s="0" t="s">
        <v>164</v>
      </c>
      <c r="C18" s="0" t="s">
        <v>153</v>
      </c>
      <c r="D18" s="0" t="n">
        <v>1</v>
      </c>
      <c r="E18" s="22" t="n">
        <f aca="false">D18*$C$2</f>
        <v>2.53763831600385</v>
      </c>
      <c r="F18" s="22" t="n">
        <f aca="false">SUMPRODUCT(H$6:CF$6,H18:CF18)</f>
        <v>0.8</v>
      </c>
      <c r="G18" s="22" t="n">
        <f aca="false">F18-E18</f>
        <v>-1.73763831600385</v>
      </c>
      <c r="W18" s="1"/>
      <c r="X18" s="1"/>
      <c r="AA18" s="0" t="n">
        <v>1</v>
      </c>
      <c r="CF18" s="24"/>
    </row>
    <row r="19" customFormat="false" ht="15" hidden="false" customHeight="false" outlineLevel="0" collapsed="false">
      <c r="A19" s="0" t="s">
        <v>165</v>
      </c>
      <c r="C19" s="0" t="s">
        <v>153</v>
      </c>
      <c r="D19" s="0" t="n">
        <v>1</v>
      </c>
      <c r="E19" s="22" t="n">
        <f aca="false">D19*$C$2</f>
        <v>2.53763831600385</v>
      </c>
      <c r="F19" s="22" t="n">
        <f aca="false">SUMPRODUCT(H$6:CF$6,H19:CF19)</f>
        <v>2.62323062730485</v>
      </c>
      <c r="G19" s="22" t="n">
        <f aca="false">F19-E19</f>
        <v>0.085592311300998</v>
      </c>
      <c r="AH19" s="1" t="n">
        <v>0.5</v>
      </c>
      <c r="AI19" s="26" t="n">
        <v>1</v>
      </c>
      <c r="CF19" s="24"/>
    </row>
    <row r="20" customFormat="false" ht="15" hidden="false" customHeight="false" outlineLevel="0" collapsed="false">
      <c r="A20" s="0" t="s">
        <v>166</v>
      </c>
      <c r="C20" s="0" t="s">
        <v>153</v>
      </c>
      <c r="D20" s="0" t="n">
        <v>0.6</v>
      </c>
      <c r="E20" s="22" t="n">
        <f aca="false">D20*$C$2</f>
        <v>1.52258298960231</v>
      </c>
      <c r="F20" s="22" t="n">
        <f aca="false">SUMPRODUCT(H$6:CF$6,H20:CF20)</f>
        <v>1.30712212556233</v>
      </c>
      <c r="G20" s="22" t="n">
        <f aca="false">F20-E20</f>
        <v>-0.215460864039976</v>
      </c>
      <c r="M20" s="0" t="n">
        <v>0.7</v>
      </c>
      <c r="T20" s="0" t="n">
        <v>0.4</v>
      </c>
    </row>
    <row r="21" customFormat="false" ht="15" hidden="false" customHeight="false" outlineLevel="0" collapsed="false">
      <c r="A21" s="0" t="s">
        <v>167</v>
      </c>
      <c r="C21" s="0" t="s">
        <v>153</v>
      </c>
      <c r="D21" s="0" t="n">
        <v>0.5</v>
      </c>
      <c r="E21" s="22" t="n">
        <f aca="false">D21*$C$2</f>
        <v>1.26881915800193</v>
      </c>
      <c r="F21" s="22" t="n">
        <f aca="false">SUMPRODUCT(H$6:CF$6,H21:CF21)</f>
        <v>1.78866978542278</v>
      </c>
      <c r="G21" s="22" t="n">
        <f aca="false">F21-E21</f>
        <v>0.519850627420856</v>
      </c>
      <c r="L21" s="0" t="n">
        <v>0.9</v>
      </c>
      <c r="M21" s="30"/>
      <c r="T21" s="30"/>
      <c r="BF21" s="26"/>
      <c r="BG21" s="26"/>
    </row>
    <row r="22" customFormat="false" ht="15" hidden="false" customHeight="false" outlineLevel="0" collapsed="false">
      <c r="A22" s="0" t="s">
        <v>168</v>
      </c>
      <c r="B22" s="24"/>
      <c r="C22" s="0" t="s">
        <v>153</v>
      </c>
      <c r="D22" s="24" t="n">
        <v>0.4</v>
      </c>
      <c r="E22" s="27" t="n">
        <f aca="false">D22*$C$2</f>
        <v>1.01505532640154</v>
      </c>
      <c r="F22" s="27" t="n">
        <f aca="false">SUMPRODUCT(H$6:CF$6,H22:CF22)</f>
        <v>1.02899597348884</v>
      </c>
      <c r="G22" s="27" t="n">
        <f aca="false">F22-E22</f>
        <v>0.0139406470873029</v>
      </c>
      <c r="M22" s="24"/>
      <c r="O22" s="24"/>
      <c r="T22" s="24"/>
      <c r="AH22" s="24" t="n">
        <v>0.5</v>
      </c>
      <c r="AI22" s="24"/>
      <c r="AJ22" s="24"/>
      <c r="AL22" s="24"/>
      <c r="AM22" s="24"/>
      <c r="AP22" s="24"/>
      <c r="AQ22" s="24"/>
      <c r="BF22" s="24"/>
      <c r="BG22" s="24"/>
      <c r="BK22" s="24"/>
      <c r="BP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</row>
    <row r="23" customFormat="false" ht="14.9" hidden="false" customHeight="false" outlineLevel="0" collapsed="false">
      <c r="A23" s="0" t="s">
        <v>169</v>
      </c>
      <c r="B23" s="25" t="s">
        <v>170</v>
      </c>
      <c r="C23" s="0" t="s">
        <v>153</v>
      </c>
      <c r="D23" s="0" t="n">
        <v>1.5</v>
      </c>
      <c r="E23" s="22" t="n">
        <f aca="false">D23*$C$2</f>
        <v>3.80645747400578</v>
      </c>
      <c r="F23" s="22" t="n">
        <f aca="false">SUMPRODUCT(H$6:CF$6,H23:CF23)</f>
        <v>3.81057697987154</v>
      </c>
      <c r="G23" s="22" t="n">
        <f aca="false">F23-E23</f>
        <v>0.00411950586576015</v>
      </c>
      <c r="AT23" s="1" t="n">
        <v>1</v>
      </c>
      <c r="AU23" s="1" t="n">
        <v>1</v>
      </c>
      <c r="AX23" s="1" t="n">
        <v>1</v>
      </c>
      <c r="AY23" s="1" t="n">
        <v>1</v>
      </c>
      <c r="AZ23" s="26" t="n">
        <v>0.8</v>
      </c>
      <c r="BA23" s="1" t="n">
        <v>1</v>
      </c>
      <c r="CF23" s="24"/>
    </row>
    <row r="24" customFormat="false" ht="14.9" hidden="false" customHeight="false" outlineLevel="0" collapsed="false">
      <c r="A24" s="0" t="s">
        <v>171</v>
      </c>
      <c r="C24" s="0" t="s">
        <v>153</v>
      </c>
      <c r="D24" s="0" t="n">
        <v>0</v>
      </c>
      <c r="E24" s="22" t="n">
        <f aca="false">D24*$C$2</f>
        <v>0</v>
      </c>
      <c r="F24" s="22" t="n">
        <f aca="false">SUMPRODUCT(H$6:CF$6,H24:CF24)</f>
        <v>0</v>
      </c>
      <c r="G24" s="22" t="n">
        <f aca="false">F24-E24</f>
        <v>0</v>
      </c>
      <c r="CF24" s="24"/>
    </row>
    <row r="25" customFormat="false" ht="15" hidden="false" customHeight="false" outlineLevel="0" collapsed="false">
      <c r="A25" s="0" t="s">
        <v>172</v>
      </c>
      <c r="B25" s="0" t="s">
        <v>173</v>
      </c>
      <c r="C25" s="0" t="s">
        <v>153</v>
      </c>
      <c r="D25" s="0" t="n">
        <v>0</v>
      </c>
      <c r="E25" s="22" t="n">
        <f aca="false">D25*$C$2</f>
        <v>0</v>
      </c>
      <c r="F25" s="22" t="n">
        <f aca="false">SUMPRODUCT(H$6:CF$6,H25:CF25)</f>
        <v>0</v>
      </c>
      <c r="G25" s="22" t="n">
        <f aca="false">F25-E25</f>
        <v>0</v>
      </c>
      <c r="CF25" s="24"/>
      <c r="CM25" s="24"/>
    </row>
    <row r="26" customFormat="false" ht="14.9" hidden="false" customHeight="false" outlineLevel="0" collapsed="false">
      <c r="A26" s="0" t="s">
        <v>174</v>
      </c>
      <c r="B26" s="24"/>
      <c r="C26" s="0" t="s">
        <v>153</v>
      </c>
      <c r="D26" s="24" t="n">
        <v>0</v>
      </c>
      <c r="E26" s="27" t="n">
        <f aca="false">D26*$C$2</f>
        <v>0</v>
      </c>
      <c r="F26" s="27" t="n">
        <f aca="false">SUMPRODUCT(H$6:CF$6,H26:CF26)</f>
        <v>0</v>
      </c>
      <c r="G26" s="27" t="n">
        <f aca="false">F26-E26</f>
        <v>0</v>
      </c>
      <c r="M26" s="24"/>
      <c r="O26" s="24"/>
      <c r="T26" s="24"/>
      <c r="AH26" s="24"/>
      <c r="AI26" s="24"/>
      <c r="AL26" s="24"/>
      <c r="AM26" s="24"/>
      <c r="AP26" s="24"/>
      <c r="AQ26" s="24"/>
      <c r="BF26" s="24"/>
      <c r="BG26" s="24"/>
      <c r="BK26" s="24"/>
      <c r="BP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M26" s="24"/>
    </row>
    <row r="27" customFormat="false" ht="14.9" hidden="false" customHeight="false" outlineLevel="0" collapsed="false">
      <c r="A27" s="0" t="s">
        <v>175</v>
      </c>
      <c r="C27" s="0" t="s">
        <v>153</v>
      </c>
      <c r="D27" s="0" t="n">
        <v>0.6</v>
      </c>
      <c r="E27" s="22" t="n">
        <f aca="false">D27*$C$2</f>
        <v>1.52258298960231</v>
      </c>
      <c r="F27" s="22" t="n">
        <f aca="false">SUMPRODUCT(H$6:CF$6,H27:CF27)</f>
        <v>1.50028520081468</v>
      </c>
      <c r="G27" s="22" t="n">
        <f aca="false">F27-E27</f>
        <v>-0.0222977887876294</v>
      </c>
      <c r="T27" s="26"/>
      <c r="BF27" s="26"/>
      <c r="BG27" s="26"/>
      <c r="BT27" s="30" t="n">
        <v>0.4</v>
      </c>
      <c r="BU27" s="30" t="n">
        <v>0.4</v>
      </c>
      <c r="BV27" s="30"/>
      <c r="BW27" s="30" t="n">
        <v>0.4</v>
      </c>
      <c r="CM27" s="34"/>
    </row>
    <row r="28" customFormat="false" ht="14.9" hidden="false" customHeight="false" outlineLevel="0" collapsed="false">
      <c r="A28" s="0" t="s">
        <v>176</v>
      </c>
      <c r="C28" s="0" t="s">
        <v>153</v>
      </c>
      <c r="D28" s="0" t="n">
        <v>0.5</v>
      </c>
      <c r="E28" s="22" t="n">
        <f aca="false">D28*$C$2</f>
        <v>1.26881915800193</v>
      </c>
      <c r="F28" s="22" t="n">
        <f aca="false">SUMPRODUCT(H$6:CF$6,H28:CF28)</f>
        <v>1.24243434212833</v>
      </c>
      <c r="G28" s="22" t="n">
        <f aca="false">F28-E28</f>
        <v>-0.0263848158735995</v>
      </c>
      <c r="T28" s="26"/>
      <c r="AL28" s="30" t="n">
        <v>0.3</v>
      </c>
      <c r="BF28" s="30" t="n">
        <v>0.3</v>
      </c>
      <c r="BG28" s="30" t="n">
        <v>0.4</v>
      </c>
    </row>
    <row r="29" customFormat="false" ht="14.9" hidden="false" customHeight="false" outlineLevel="0" collapsed="false">
      <c r="A29" s="0" t="s">
        <v>177</v>
      </c>
      <c r="C29" s="0" t="s">
        <v>153</v>
      </c>
      <c r="D29" s="0" t="n">
        <v>1</v>
      </c>
      <c r="E29" s="22" t="n">
        <f aca="false">D29*$C$2</f>
        <v>2.53763831600385</v>
      </c>
      <c r="F29" s="22" t="n">
        <f aca="false">SUMPRODUCT(H$6:CF$6,H29:CF29)</f>
        <v>2.50900210036039</v>
      </c>
      <c r="G29" s="22" t="n">
        <f aca="false">F29-E29</f>
        <v>-0.0286362156434583</v>
      </c>
      <c r="AE29" s="30" t="n">
        <v>0.5</v>
      </c>
      <c r="AF29" s="0" t="n">
        <v>1</v>
      </c>
      <c r="AG29" s="24"/>
      <c r="BS29" s="26" t="n">
        <v>0.6</v>
      </c>
      <c r="CF29" s="24"/>
      <c r="CM29" s="24"/>
    </row>
    <row r="30" customFormat="false" ht="14.9" hidden="false" customHeight="false" outlineLevel="0" collapsed="false">
      <c r="A30" s="0" t="s">
        <v>178</v>
      </c>
      <c r="C30" s="0" t="s">
        <v>153</v>
      </c>
      <c r="D30" s="0" t="n">
        <v>1</v>
      </c>
      <c r="E30" s="22" t="n">
        <f aca="false">D30*$C$2</f>
        <v>2.53763831600385</v>
      </c>
      <c r="F30" s="22" t="n">
        <f aca="false">SUMPRODUCT(H$6:CF$6,H30:CF30)</f>
        <v>2.5009132031868</v>
      </c>
      <c r="G30" s="22" t="n">
        <f aca="false">F30-E30</f>
        <v>-0.0367251128170492</v>
      </c>
      <c r="BV30" s="30" t="n">
        <v>0.5</v>
      </c>
      <c r="CA30" s="1" t="n">
        <v>1</v>
      </c>
      <c r="CD30" s="1" t="n">
        <v>1</v>
      </c>
      <c r="CF30" s="24"/>
    </row>
    <row r="31" customFormat="false" ht="14.9" hidden="false" customHeight="false" outlineLevel="0" collapsed="false">
      <c r="A31" s="0" t="s">
        <v>179</v>
      </c>
      <c r="C31" s="0" t="s">
        <v>153</v>
      </c>
      <c r="D31" s="0" t="n">
        <v>0.6</v>
      </c>
      <c r="E31" s="22" t="n">
        <f aca="false">D31*$C$2</f>
        <v>1.52258298960231</v>
      </c>
      <c r="F31" s="22" t="n">
        <f aca="false">SUMPRODUCT(H$6:CF$6,H31:CF31)</f>
        <v>1.48465937963669</v>
      </c>
      <c r="G31" s="22" t="n">
        <f aca="false">F31-E31</f>
        <v>-0.0379236099656168</v>
      </c>
      <c r="S31" s="30" t="n">
        <v>0.5</v>
      </c>
      <c r="AC31" s="0" t="n">
        <v>0.4</v>
      </c>
      <c r="AE31" s="24"/>
      <c r="CM31" s="24"/>
    </row>
    <row r="32" customFormat="false" ht="14.9" hidden="false" customHeight="false" outlineLevel="0" collapsed="false">
      <c r="A32" s="0" t="s">
        <v>180</v>
      </c>
      <c r="C32" s="0" t="s">
        <v>153</v>
      </c>
      <c r="D32" s="0" t="n">
        <v>1</v>
      </c>
      <c r="E32" s="22" t="n">
        <f aca="false">D32*$C$2</f>
        <v>2.53763831600385</v>
      </c>
      <c r="F32" s="22" t="n">
        <f aca="false">SUMPRODUCT(H$6:CF$6,H32:CF32)</f>
        <v>2.46378536358069</v>
      </c>
      <c r="G32" s="22" t="n">
        <f aca="false">F32-E32</f>
        <v>-0.0738529524231648</v>
      </c>
      <c r="H32" s="26" t="n">
        <v>0.6</v>
      </c>
      <c r="I32" s="1" t="n">
        <v>0.5</v>
      </c>
      <c r="R32" s="0" t="n">
        <v>0.2</v>
      </c>
      <c r="CF32" s="24"/>
      <c r="CM32" s="24"/>
    </row>
    <row r="33" customFormat="false" ht="14.9" hidden="false" customHeight="false" outlineLevel="0" collapsed="false">
      <c r="A33" s="0" t="s">
        <v>181</v>
      </c>
      <c r="C33" s="0" t="s">
        <v>153</v>
      </c>
      <c r="D33" s="0" t="n">
        <v>1</v>
      </c>
      <c r="E33" s="22" t="n">
        <f aca="false">D33*$C$2</f>
        <v>2.53763831600385</v>
      </c>
      <c r="F33" s="22" t="n">
        <f aca="false">SUMPRODUCT(H$6:CF$6,H33:CF33)</f>
        <v>2.45160132864693</v>
      </c>
      <c r="G33" s="22" t="n">
        <f aca="false">F33-E33</f>
        <v>-0.0860369873569251</v>
      </c>
      <c r="AZ33" s="30" t="n">
        <v>0.2</v>
      </c>
      <c r="BI33" s="1" t="n">
        <v>1</v>
      </c>
      <c r="BN33" s="1" t="n">
        <v>1</v>
      </c>
      <c r="CF33" s="24"/>
      <c r="CM33" s="24"/>
    </row>
    <row r="34" customFormat="false" ht="14.9" hidden="false" customHeight="false" outlineLevel="0" collapsed="false">
      <c r="A34" s="0" t="s">
        <v>182</v>
      </c>
      <c r="C34" s="0" t="s">
        <v>153</v>
      </c>
      <c r="D34" s="0" t="n">
        <v>1</v>
      </c>
      <c r="E34" s="22" t="n">
        <f aca="false">D34*$C$2</f>
        <v>2.53763831600385</v>
      </c>
      <c r="F34" s="22" t="n">
        <f aca="false">SUMPRODUCT(H$6:CF$6,H34:CF34)</f>
        <v>2.45142387137883</v>
      </c>
      <c r="G34" s="22" t="n">
        <f aca="false">F34-E34</f>
        <v>-0.0862144446250248</v>
      </c>
      <c r="S34" s="1" t="n">
        <v>0.5</v>
      </c>
      <c r="AC34" s="0" t="n">
        <v>0.6</v>
      </c>
      <c r="AV34" s="0" t="n">
        <v>0.5</v>
      </c>
      <c r="AW34" s="1" t="n">
        <v>0.5</v>
      </c>
      <c r="CM34" s="24"/>
    </row>
    <row r="35" customFormat="false" ht="15" hidden="false" customHeight="false" outlineLevel="0" collapsed="false">
      <c r="A35" s="0" t="s">
        <v>183</v>
      </c>
      <c r="C35" s="0" t="s">
        <v>153</v>
      </c>
      <c r="D35" s="0" t="n">
        <v>0.8</v>
      </c>
      <c r="E35" s="22" t="n">
        <f aca="false">D35*$C$2</f>
        <v>2.03011065280308</v>
      </c>
      <c r="F35" s="22" t="n">
        <f aca="false">SUMPRODUCT(H$6:CF$6,H35:CF35)</f>
        <v>1.93001580295643</v>
      </c>
      <c r="G35" s="22" t="n">
        <f aca="false">F35-E35</f>
        <v>-0.100094849846651</v>
      </c>
      <c r="BT35" s="26" t="n">
        <v>0.6</v>
      </c>
      <c r="BU35" s="26" t="n">
        <v>0.4</v>
      </c>
      <c r="BV35" s="30"/>
      <c r="BW35" s="26" t="n">
        <v>0.6</v>
      </c>
    </row>
    <row r="36" customFormat="false" ht="14.9" hidden="false" customHeight="false" outlineLevel="0" collapsed="false">
      <c r="A36" s="0" t="s">
        <v>184</v>
      </c>
      <c r="C36" s="0" t="s">
        <v>153</v>
      </c>
      <c r="D36" s="0" t="n">
        <v>1</v>
      </c>
      <c r="E36" s="22" t="n">
        <f aca="false">D36*$C$2</f>
        <v>2.53763831600385</v>
      </c>
      <c r="F36" s="22" t="n">
        <f aca="false">SUMPRODUCT(H$6:CF$6,H36:CF36)</f>
        <v>2.43479516818661</v>
      </c>
      <c r="G36" s="22" t="n">
        <f aca="false">F36-E36</f>
        <v>-0.102843147817239</v>
      </c>
      <c r="AL36" s="26"/>
      <c r="AP36" s="26" t="n">
        <v>0.6</v>
      </c>
      <c r="AQ36" s="26"/>
      <c r="BJ36" s="1" t="n">
        <v>1</v>
      </c>
      <c r="BQ36" s="0" t="n">
        <v>1</v>
      </c>
      <c r="CF36" s="24"/>
    </row>
    <row r="37" customFormat="false" ht="14.9" hidden="false" customHeight="false" outlineLevel="0" collapsed="false">
      <c r="A37" s="0" t="s">
        <v>185</v>
      </c>
      <c r="C37" s="0" t="s">
        <v>153</v>
      </c>
      <c r="D37" s="0" t="n">
        <v>0.5</v>
      </c>
      <c r="E37" s="22" t="n">
        <f aca="false">D37*$C$2</f>
        <v>1.26881915800193</v>
      </c>
      <c r="F37" s="22" t="n">
        <f aca="false">SUMPRODUCT(H$6:CF$6,H37:CF37)</f>
        <v>1.16413907699791</v>
      </c>
      <c r="G37" s="22" t="n">
        <f aca="false">F37-E37</f>
        <v>-0.10468008100402</v>
      </c>
      <c r="J37" s="1" t="n">
        <v>1</v>
      </c>
      <c r="CF37" s="24"/>
    </row>
    <row r="38" customFormat="false" ht="14.9" hidden="false" customHeight="false" outlineLevel="0" collapsed="false">
      <c r="A38" s="0" t="s">
        <v>186</v>
      </c>
      <c r="C38" s="0" t="s">
        <v>153</v>
      </c>
      <c r="D38" s="0" t="n">
        <v>1</v>
      </c>
      <c r="E38" s="22" t="n">
        <f aca="false">D38*$C$2</f>
        <v>2.53763831600385</v>
      </c>
      <c r="F38" s="22" t="n">
        <f aca="false">SUMPRODUCT(H$6:CF$6,H38:CF38)</f>
        <v>2.41907427761817</v>
      </c>
      <c r="G38" s="22" t="n">
        <f aca="false">F38-E38</f>
        <v>-0.118564038385677</v>
      </c>
      <c r="I38" s="0" t="n">
        <v>0.5</v>
      </c>
      <c r="Z38" s="1" t="n">
        <v>1</v>
      </c>
      <c r="AE38" s="24"/>
      <c r="BO38" s="1" t="n">
        <v>1</v>
      </c>
      <c r="CM38" s="24"/>
    </row>
    <row r="39" customFormat="false" ht="14.9" hidden="false" customHeight="false" outlineLevel="0" collapsed="false">
      <c r="A39" s="0" t="s">
        <v>187</v>
      </c>
      <c r="B39" s="25" t="s">
        <v>188</v>
      </c>
      <c r="C39" s="0" t="s">
        <v>153</v>
      </c>
      <c r="D39" s="0" t="n">
        <v>1</v>
      </c>
      <c r="E39" s="22" t="n">
        <f aca="false">D39*$C$2</f>
        <v>2.53763831600385</v>
      </c>
      <c r="F39" s="22" t="n">
        <f aca="false">SUMPRODUCT(H$6:CF$6,H39:CF39)</f>
        <v>2.41424193613815</v>
      </c>
      <c r="G39" s="22" t="n">
        <f aca="false">F39-E39</f>
        <v>-0.123396379865703</v>
      </c>
      <c r="U39" s="1" t="n">
        <v>1</v>
      </c>
      <c r="AE39" s="35"/>
      <c r="AP39" s="30" t="n">
        <v>0.4</v>
      </c>
      <c r="AQ39" s="26" t="n">
        <v>1</v>
      </c>
      <c r="CF39" s="24"/>
    </row>
    <row r="40" customFormat="false" ht="14.9" hidden="false" customHeight="false" outlineLevel="0" collapsed="false">
      <c r="A40" s="0" t="s">
        <v>189</v>
      </c>
      <c r="C40" s="0" t="s">
        <v>153</v>
      </c>
      <c r="D40" s="0" t="n">
        <v>1</v>
      </c>
      <c r="E40" s="22" t="n">
        <f aca="false">D40*$C$2</f>
        <v>2.53763831600385</v>
      </c>
      <c r="F40" s="22" t="n">
        <f aca="false">SUMPRODUCT(H$6:CF$6,H40:CF40)</f>
        <v>2.2886554407459</v>
      </c>
      <c r="G40" s="22" t="n">
        <f aca="false">F40-E40</f>
        <v>-0.248982875257949</v>
      </c>
      <c r="O40" s="1" t="n">
        <v>0.5</v>
      </c>
      <c r="AB40" s="26" t="n">
        <v>1</v>
      </c>
      <c r="AE40" s="24"/>
      <c r="AM40" s="26"/>
      <c r="CF40" s="24"/>
    </row>
    <row r="41" customFormat="false" ht="14.9" hidden="false" customHeight="false" outlineLevel="0" collapsed="false">
      <c r="A41" s="0" t="s">
        <v>190</v>
      </c>
      <c r="B41" s="25" t="s">
        <v>155</v>
      </c>
      <c r="C41" s="0" t="s">
        <v>153</v>
      </c>
      <c r="D41" s="0" t="n">
        <v>1</v>
      </c>
      <c r="E41" s="22" t="n">
        <f aca="false">D41*$C$2</f>
        <v>2.53763831600385</v>
      </c>
      <c r="F41" s="22" t="n">
        <f aca="false">SUMPRODUCT(H$6:CF$6,H41:CF41)</f>
        <v>2.28844086835596</v>
      </c>
      <c r="G41" s="22" t="n">
        <f aca="false">F41-E41</f>
        <v>-0.24919744764789</v>
      </c>
      <c r="BB41" s="1" t="n">
        <v>1</v>
      </c>
      <c r="BC41" s="1" t="n">
        <v>1</v>
      </c>
      <c r="BM41" s="1" t="n">
        <v>1</v>
      </c>
      <c r="CM41" s="24"/>
    </row>
    <row r="42" customFormat="false" ht="14.9" hidden="false" customHeight="false" outlineLevel="0" collapsed="false">
      <c r="A42" s="0" t="s">
        <v>191</v>
      </c>
      <c r="B42" s="0" t="s">
        <v>173</v>
      </c>
      <c r="C42" s="0" t="s">
        <v>153</v>
      </c>
      <c r="D42" s="0" t="n">
        <v>1</v>
      </c>
      <c r="E42" s="22" t="n">
        <f aca="false">D42*$C$2</f>
        <v>2.53763831600385</v>
      </c>
      <c r="F42" s="22" t="n">
        <f aca="false">SUMPRODUCT(H$6:CF$6,H42:CF42)</f>
        <v>2.2598076908583</v>
      </c>
      <c r="G42" s="22" t="n">
        <f aca="false">F42-E42</f>
        <v>-0.277830625145555</v>
      </c>
      <c r="P42" s="36" t="n">
        <v>0.6</v>
      </c>
      <c r="AV42" s="1" t="n">
        <v>0.5</v>
      </c>
      <c r="AW42" s="37" t="n">
        <v>0.5</v>
      </c>
      <c r="BL42" s="0" t="n">
        <v>0.4</v>
      </c>
    </row>
    <row r="43" customFormat="false" ht="14.9" hidden="false" customHeight="false" outlineLevel="0" collapsed="false">
      <c r="A43" s="0" t="s">
        <v>192</v>
      </c>
      <c r="C43" s="0" t="s">
        <v>153</v>
      </c>
      <c r="D43" s="0" t="n">
        <v>1</v>
      </c>
      <c r="E43" s="22" t="n">
        <f aca="false">D43*$C$2</f>
        <v>2.53763831600385</v>
      </c>
      <c r="F43" s="22" t="n">
        <f aca="false">SUMPRODUCT(H$6:CF$6,H43:CF43)</f>
        <v>2.25137230273357</v>
      </c>
      <c r="G43" s="22" t="n">
        <f aca="false">F43-E43</f>
        <v>-0.286266013270281</v>
      </c>
      <c r="L43" s="1" t="n">
        <v>0.2</v>
      </c>
      <c r="AD43" s="1" t="n">
        <v>1</v>
      </c>
      <c r="BH43" s="0" t="n">
        <v>0.7</v>
      </c>
    </row>
    <row r="44" customFormat="false" ht="14.9" hidden="false" customHeight="false" outlineLevel="0" collapsed="false">
      <c r="A44" s="0" t="s">
        <v>193</v>
      </c>
      <c r="C44" s="0" t="s">
        <v>153</v>
      </c>
      <c r="D44" s="0" t="n">
        <v>1</v>
      </c>
      <c r="E44" s="22" t="n">
        <f aca="false">D44*$C$2</f>
        <v>2.53763831600385</v>
      </c>
      <c r="F44" s="22" t="n">
        <f aca="false">SUMPRODUCT(H$6:CF$6,H44:CF44)</f>
        <v>2.24532559313479</v>
      </c>
      <c r="G44" s="22" t="n">
        <f aca="false">F44-E44</f>
        <v>-0.292312722869065</v>
      </c>
      <c r="V44" s="26" t="n">
        <v>1</v>
      </c>
      <c r="BH44" s="0" t="n">
        <v>0.3</v>
      </c>
      <c r="BL44" s="1" t="n">
        <v>0.6</v>
      </c>
    </row>
    <row r="45" customFormat="false" ht="14.9" hidden="false" customHeight="false" outlineLevel="0" collapsed="false">
      <c r="A45" s="0" t="s">
        <v>194</v>
      </c>
      <c r="C45" s="0" t="s">
        <v>153</v>
      </c>
      <c r="D45" s="24" t="n">
        <v>1</v>
      </c>
      <c r="E45" s="27" t="n">
        <f aca="false">D45*$C$2</f>
        <v>2.53763831600385</v>
      </c>
      <c r="F45" s="27" t="n">
        <f aca="false">SUMPRODUCT(H$6:CF$6,H45:CF45)</f>
        <v>2.23305321036939</v>
      </c>
      <c r="G45" s="27" t="n">
        <f aca="false">F45-E45</f>
        <v>-0.304585105634465</v>
      </c>
      <c r="N45" s="1" t="n">
        <v>1</v>
      </c>
      <c r="AJ45" s="30" t="n">
        <v>0.5</v>
      </c>
      <c r="AK45" s="30"/>
      <c r="BR45" s="0" t="n">
        <v>1</v>
      </c>
      <c r="CF45" s="24"/>
    </row>
    <row r="46" customFormat="false" ht="14.9" hidden="false" customHeight="false" outlineLevel="0" collapsed="false">
      <c r="A46" s="0" t="s">
        <v>195</v>
      </c>
      <c r="B46" s="24"/>
      <c r="C46" s="0" t="s">
        <v>153</v>
      </c>
      <c r="D46" s="24" t="n">
        <v>1</v>
      </c>
      <c r="E46" s="27" t="n">
        <f aca="false">D46*$C$2</f>
        <v>2.53763831600385</v>
      </c>
      <c r="F46" s="27" t="n">
        <f aca="false">SUMPRODUCT(H$6:CF$6,H46:CF46)</f>
        <v>2.21652019166256</v>
      </c>
      <c r="G46" s="27" t="n">
        <f aca="false">F46-E46</f>
        <v>-0.321118124341296</v>
      </c>
      <c r="H46" s="30" t="n">
        <v>0.4</v>
      </c>
      <c r="M46" s="24"/>
      <c r="O46" s="24" t="n">
        <v>0.5</v>
      </c>
      <c r="T46" s="24"/>
      <c r="AH46" s="24"/>
      <c r="AI46" s="24"/>
      <c r="AL46" s="24"/>
      <c r="AM46" s="24"/>
      <c r="BF46" s="24"/>
      <c r="BG46" s="24"/>
      <c r="BK46" s="24"/>
      <c r="BP46" s="24"/>
      <c r="BT46" s="24"/>
      <c r="BU46" s="24"/>
      <c r="BV46" s="24"/>
      <c r="BW46" s="24"/>
      <c r="BX46" s="24"/>
      <c r="BY46" s="29" t="n">
        <v>0.6</v>
      </c>
      <c r="BZ46" s="24"/>
      <c r="CA46" s="24"/>
      <c r="CB46" s="24"/>
      <c r="CC46" s="24"/>
      <c r="CD46" s="24"/>
      <c r="CE46" s="24"/>
      <c r="CF46" s="24"/>
    </row>
    <row r="47" customFormat="false" ht="14.9" hidden="false" customHeight="false" outlineLevel="0" collapsed="false">
      <c r="A47" s="0" t="s">
        <v>196</v>
      </c>
      <c r="C47" s="0" t="s">
        <v>153</v>
      </c>
      <c r="D47" s="0" t="n">
        <v>1</v>
      </c>
      <c r="E47" s="22" t="n">
        <f aca="false">D47*$C$2</f>
        <v>2.53763831600385</v>
      </c>
      <c r="F47" s="22" t="n">
        <f aca="false">SUMPRODUCT(H$6:CF$6,H47:CF47)</f>
        <v>1.17428396258735</v>
      </c>
      <c r="G47" s="22" t="n">
        <f aca="false">F47-E47</f>
        <v>-1.3633543534165</v>
      </c>
      <c r="BU47" s="30" t="n">
        <v>0.2</v>
      </c>
      <c r="CB47" s="1" t="n">
        <v>1</v>
      </c>
      <c r="CF47" s="29"/>
    </row>
    <row r="48" customFormat="false" ht="14.9" hidden="false" customHeight="false" outlineLevel="0" collapsed="false">
      <c r="A48" s="0" t="s">
        <v>197</v>
      </c>
      <c r="C48" s="0" t="s">
        <v>153</v>
      </c>
      <c r="D48" s="0" t="n">
        <v>1</v>
      </c>
      <c r="E48" s="22" t="n">
        <f aca="false">D48*$C$2</f>
        <v>2.53763831600385</v>
      </c>
      <c r="F48" s="22" t="n">
        <f aca="false">SUMPRODUCT(H$6:CF$6,H48:CF48)</f>
        <v>2.26406978603562</v>
      </c>
      <c r="G48" s="22" t="n">
        <f aca="false">F48-E48</f>
        <v>-0.273568529968232</v>
      </c>
      <c r="M48" s="26" t="n">
        <v>0.4</v>
      </c>
      <c r="T48" s="26" t="n">
        <v>0.5</v>
      </c>
      <c r="BF48" s="26" t="n">
        <v>0.7</v>
      </c>
      <c r="BG48" s="26" t="n">
        <v>0.6</v>
      </c>
      <c r="CF48" s="24"/>
    </row>
    <row r="49" customFormat="false" ht="15" hidden="false" customHeight="false" outlineLevel="0" collapsed="false">
      <c r="A49" s="38"/>
      <c r="E49" s="22"/>
      <c r="F49" s="22"/>
      <c r="G49" s="22"/>
    </row>
    <row r="50" customFormat="false" ht="15" hidden="false" customHeight="false" outlineLevel="0" collapsed="false">
      <c r="A50" s="1" t="str">
        <f aca="false">TEXT(COUNTA(A9:A49),"0")&amp;" bodies"</f>
        <v>40 bodies</v>
      </c>
      <c r="B50" s="1"/>
      <c r="C50" s="1" t="s">
        <v>198</v>
      </c>
      <c r="D50" s="1" t="n">
        <f aca="false">SUM(D9:D49)</f>
        <v>34</v>
      </c>
    </row>
    <row r="53" customFormat="false" ht="15" hidden="false" customHeight="false" outlineLevel="0" collapsed="false">
      <c r="B53" s="0" t="s">
        <v>199</v>
      </c>
    </row>
    <row r="54" customFormat="false" ht="15" hidden="false" customHeight="false" outlineLevel="0" collapsed="false">
      <c r="B54" s="0" t="s">
        <v>200</v>
      </c>
    </row>
  </sheetData>
  <conditionalFormatting sqref="AB8:AC8 AF8 BG8:BW8 CA8:CD8 Y8 AH8:BD8 CM8:CN8 H8:T8">
    <cfRule type="expression" priority="2" aboveAverage="0" equalAverage="0" bottom="0" percent="0" rank="0" text="" dxfId="0">
      <formula>H8&lt;0</formula>
    </cfRule>
    <cfRule type="expression" priority="3" aboveAverage="0" equalAverage="0" bottom="0" percent="0" rank="0" text="" dxfId="1">
      <formula>H8&gt;0</formula>
    </cfRule>
  </conditionalFormatting>
  <conditionalFormatting sqref="G9:G18 G49 G20 G22:G39">
    <cfRule type="colorScale" priority="4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BX8:BY8">
    <cfRule type="expression" priority="5" aboveAverage="0" equalAverage="0" bottom="0" percent="0" rank="0" text="" dxfId="2">
      <formula>BX8&lt;0</formula>
    </cfRule>
    <cfRule type="expression" priority="6" aboveAverage="0" equalAverage="0" bottom="0" percent="0" rank="0" text="" dxfId="3">
      <formula>BX8&gt;0</formula>
    </cfRule>
  </conditionalFormatting>
  <conditionalFormatting sqref="CO8 CD8:CF8">
    <cfRule type="expression" priority="7" aboveAverage="0" equalAverage="0" bottom="0" percent="0" rank="0" text="" dxfId="4">
      <formula>CD8&lt;0</formula>
    </cfRule>
    <cfRule type="expression" priority="8" aboveAverage="0" equalAverage="0" bottom="0" percent="0" rank="0" text="" dxfId="5">
      <formula>CD8&gt;0</formula>
    </cfRule>
  </conditionalFormatting>
  <conditionalFormatting sqref="U8:V8">
    <cfRule type="expression" priority="9" aboveAverage="0" equalAverage="0" bottom="0" percent="0" rank="0" text="" dxfId="6">
      <formula>U8&lt;0</formula>
    </cfRule>
    <cfRule type="expression" priority="10" aboveAverage="0" equalAverage="0" bottom="0" percent="0" rank="0" text="" dxfId="7">
      <formula>U8&gt;0</formula>
    </cfRule>
  </conditionalFormatting>
  <conditionalFormatting sqref="W8:X8">
    <cfRule type="expression" priority="11" aboveAverage="0" equalAverage="0" bottom="0" percent="0" rank="0" text="" dxfId="8">
      <formula>W8&lt;0</formula>
    </cfRule>
    <cfRule type="expression" priority="12" aboveAverage="0" equalAverage="0" bottom="0" percent="0" rank="0" text="" dxfId="9">
      <formula>W8&gt;0</formula>
    </cfRule>
  </conditionalFormatting>
  <conditionalFormatting sqref="Z8:AA8">
    <cfRule type="expression" priority="13" aboveAverage="0" equalAverage="0" bottom="0" percent="0" rank="0" text="" dxfId="10">
      <formula>Z8&lt;0</formula>
    </cfRule>
    <cfRule type="expression" priority="14" aboveAverage="0" equalAverage="0" bottom="0" percent="0" rank="0" text="" dxfId="11">
      <formula>Z8&gt;0</formula>
    </cfRule>
  </conditionalFormatting>
  <conditionalFormatting sqref="AE8">
    <cfRule type="expression" priority="15" aboveAverage="0" equalAverage="0" bottom="0" percent="0" rank="0" text="" dxfId="12">
      <formula>AE8&lt;0</formula>
    </cfRule>
    <cfRule type="expression" priority="16" aboveAverage="0" equalAverage="0" bottom="0" percent="0" rank="0" text="" dxfId="13">
      <formula>AE8&gt;0</formula>
    </cfRule>
  </conditionalFormatting>
  <conditionalFormatting sqref="AD8">
    <cfRule type="expression" priority="17" aboveAverage="0" equalAverage="0" bottom="0" percent="0" rank="0" text="" dxfId="14">
      <formula>AD8&lt;0</formula>
    </cfRule>
    <cfRule type="expression" priority="18" aboveAverage="0" equalAverage="0" bottom="0" percent="0" rank="0" text="" dxfId="15">
      <formula>AD8&gt;0</formula>
    </cfRule>
  </conditionalFormatting>
  <conditionalFormatting sqref="BE8">
    <cfRule type="expression" priority="19" aboveAverage="0" equalAverage="0" bottom="0" percent="0" rank="0" text="" dxfId="16">
      <formula>BE8&lt;0</formula>
    </cfRule>
    <cfRule type="expression" priority="20" aboveAverage="0" equalAverage="0" bottom="0" percent="0" rank="0" text="" dxfId="17">
      <formula>BE8&gt;0</formula>
    </cfRule>
  </conditionalFormatting>
  <conditionalFormatting sqref="BF8">
    <cfRule type="expression" priority="21" aboveAverage="0" equalAverage="0" bottom="0" percent="0" rank="0" text="" dxfId="18">
      <formula>BF8&lt;0</formula>
    </cfRule>
    <cfRule type="expression" priority="22" aboveAverage="0" equalAverage="0" bottom="0" percent="0" rank="0" text="" dxfId="19">
      <formula>BF8&gt;0</formula>
    </cfRule>
  </conditionalFormatting>
  <conditionalFormatting sqref="G19">
    <cfRule type="colorScale" priority="23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AG8">
    <cfRule type="expression" priority="24" aboveAverage="0" equalAverage="0" bottom="0" percent="0" rank="0" text="" dxfId="20">
      <formula>AG8&lt;0</formula>
    </cfRule>
    <cfRule type="expression" priority="25" aboveAverage="0" equalAverage="0" bottom="0" percent="0" rank="0" text="" dxfId="21">
      <formula>AG8&gt;0</formula>
    </cfRule>
  </conditionalFormatting>
  <conditionalFormatting sqref="BZ8">
    <cfRule type="expression" priority="26" aboveAverage="0" equalAverage="0" bottom="0" percent="0" rank="0" text="" dxfId="22">
      <formula>BZ8&lt;0</formula>
    </cfRule>
    <cfRule type="expression" priority="27" aboveAverage="0" equalAverage="0" bottom="0" percent="0" rank="0" text="" dxfId="23">
      <formula>BZ8&gt;0</formula>
    </cfRule>
  </conditionalFormatting>
  <conditionalFormatting sqref="G42">
    <cfRule type="colorScale" priority="28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21">
    <cfRule type="colorScale" priority="29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5">
    <cfRule type="colorScale" priority="30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4">
    <cfRule type="colorScale" priority="31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7">
    <cfRule type="colorScale" priority="32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3">
    <cfRule type="colorScale" priority="33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0">
    <cfRule type="colorScale" priority="34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1">
    <cfRule type="colorScale" priority="35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8">
    <cfRule type="colorScale" priority="36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conditionalFormatting sqref="G46">
    <cfRule type="colorScale" priority="37">
      <colorScale>
        <cfvo type="num" val="-1.5"/>
        <cfvo type="num" val="0"/>
        <cfvo type="num" val="1.5"/>
        <color rgb="FFFF0000"/>
        <color rgb="FFFFFFFF"/>
        <color rgb="FF00B050"/>
      </colorScale>
    </cfRule>
  </conditionalFormatting>
  <printOptions headings="false" gridLines="false" gridLinesSet="true" horizontalCentered="false" verticalCentered="false"/>
  <pageMargins left="0.25" right="0.25" top="0.75" bottom="0.75" header="0.511805555555555" footer="0.511805555555555"/>
  <pageSetup paperSize="8" scale="45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200" zoomScaleNormal="200" zoomScalePageLayoutView="100" workbookViewId="0">
      <selection pane="topLeft" activeCell="A3" activeCellId="1" sqref="X7:X8 A3"/>
    </sheetView>
  </sheetViews>
  <sheetFormatPr defaultColWidth="8.5390625" defaultRowHeight="1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200" zoomScaleNormal="200" zoomScalePageLayoutView="100" workbookViewId="0">
      <selection pane="topLeft" activeCell="A1" activeCellId="1" sqref="X7:X8 A1"/>
    </sheetView>
  </sheetViews>
  <sheetFormatPr defaultColWidth="8.5390625" defaultRowHeight="1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144375E58E94B4797547602088A153E" ma:contentTypeVersion="13" ma:contentTypeDescription="Create a new document." ma:contentTypeScope="" ma:versionID="7e63007d8e5e8654fe70b8510975bcc0">
  <xsd:schema xmlns:xsd="http://www.w3.org/2001/XMLSchema" xmlns:xs="http://www.w3.org/2001/XMLSchema" xmlns:p="http://schemas.microsoft.com/office/2006/metadata/properties" xmlns:ns3="d0ad2d52-4869-465d-a93a-001fa21a593d" xmlns:ns4="a21de7b9-cad9-43f2-8459-9b1b4f9894e2" targetNamespace="http://schemas.microsoft.com/office/2006/metadata/properties" ma:root="true" ma:fieldsID="c71fdf4a3f812f4c6f43eee57994d278" ns3:_="" ns4:_="">
    <xsd:import namespace="d0ad2d52-4869-465d-a93a-001fa21a593d"/>
    <xsd:import namespace="a21de7b9-cad9-43f2-8459-9b1b4f9894e2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OCR" minOccurs="0"/>
                <xsd:element ref="ns4:MediaServiceEventHashCode" minOccurs="0"/>
                <xsd:element ref="ns4:MediaServiceGenerationTim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ad2d52-4869-465d-a93a-001fa21a593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1de7b9-cad9-43f2-8459-9b1b4f9894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5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E6D528A-3708-4901-8018-58179A88795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CFE4B6A-BC1A-4A92-8A10-09C32955B01D}">
  <ds:schemaRefs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21de7b9-cad9-43f2-8459-9b1b4f9894e2"/>
    <ds:schemaRef ds:uri="http://schemas.microsoft.com/office/2006/documentManagement/types"/>
    <ds:schemaRef ds:uri="d0ad2d52-4869-465d-a93a-001fa21a593d"/>
    <ds:schemaRef ds:uri="http://purl.org/dc/dcmitype/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6B64111-6351-4AC4-ABBC-45415AA1E9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ad2d52-4869-465d-a93a-001fa21a593d"/>
    <ds:schemaRef ds:uri="a21de7b9-cad9-43f2-8459-9b1b4f9894e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LibreOffice/6.4.6.2$Linux_X86_64 LibreOffice_project/40$Build-2</Application>
  <Company>QUT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2012-01-11T02:44:51Z</dcterms:created>
  <dc:creator>Gordon Wyeth</dc:creator>
  <dc:description/>
  <dc:language>en-US</dc:language>
  <cp:lastModifiedBy/>
  <cp:lastPrinted>2020-05-06T00:37:26Z</cp:lastPrinted>
  <dcterms:modified xsi:type="dcterms:W3CDTF">2021-10-30T01:14:35Z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QUT</vt:lpwstr>
  </property>
  <property fmtid="{D5CDD505-2E9C-101B-9397-08002B2CF9AE}" pid="4" name="ContentTypeId">
    <vt:lpwstr>0x0101005144375E58E94B4797547602088A153E</vt:lpwstr>
  </property>
  <property fmtid="{D5CDD505-2E9C-101B-9397-08002B2CF9AE}" pid="5" name="DocSecurity">
    <vt:i4>0</vt:i4>
  </property>
  <property fmtid="{D5CDD505-2E9C-101B-9397-08002B2CF9AE}" pid="6" name="HyperlinksChanged">
    <vt:bool>0</vt:bool>
  </property>
  <property fmtid="{D5CDD505-2E9C-101B-9397-08002B2CF9AE}" pid="7" name="LinksUpToDate">
    <vt:bool>0</vt:bool>
  </property>
  <property fmtid="{D5CDD505-2E9C-101B-9397-08002B2CF9AE}" pid="8" name="ScaleCrop">
    <vt:bool>0</vt:bool>
  </property>
  <property fmtid="{D5CDD505-2E9C-101B-9397-08002B2CF9AE}" pid="9" name="ShareDoc">
    <vt:bool>0</vt:bool>
  </property>
</Properties>
</file>