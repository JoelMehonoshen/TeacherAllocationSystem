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7328" windowHeight="9192" tabRatio="500"/>
  </bookViews>
  <sheets>
    <sheet name="Allocation" sheetId="1" r:id="rId1"/>
    <sheet name="Sheet1" sheetId="2" r:id="rId2"/>
    <sheet name="Sheet2" sheetId="3" r:id="rId3"/>
  </sheets>
  <calcPr calcId="144525"/>
</workbook>
</file>

<file path=xl/sharedStrings.xml><?xml version="1.0" encoding="utf-8"?>
<sst xmlns="http://schemas.openxmlformats.org/spreadsheetml/2006/main" count="69" uniqueCount="48">
  <si>
    <t>Code</t>
  </si>
  <si>
    <t>CAB201</t>
  </si>
  <si>
    <t>CAB202</t>
  </si>
  <si>
    <t>CAB203</t>
  </si>
  <si>
    <t>CAB210</t>
  </si>
  <si>
    <t>CAB220</t>
  </si>
  <si>
    <t>CAB230</t>
  </si>
  <si>
    <t>CAB240</t>
  </si>
  <si>
    <t>CAB301</t>
  </si>
  <si>
    <t>CAB302</t>
  </si>
  <si>
    <t>CAB303</t>
  </si>
  <si>
    <t>Standard Load:</t>
  </si>
  <si>
    <t>Name</t>
  </si>
  <si>
    <t>Programming Principles</t>
  </si>
  <si>
    <t>Micro Proc and Dig Sys</t>
  </si>
  <si>
    <t>Discrete Structures</t>
  </si>
  <si>
    <t>People Context &amp; Tech</t>
  </si>
  <si>
    <t>Fund of Data Science</t>
  </si>
  <si>
    <t>Web Computing</t>
  </si>
  <si>
    <t>Information Security</t>
  </si>
  <si>
    <t>Algorithms &amp; Complexity</t>
  </si>
  <si>
    <t>Software Development</t>
  </si>
  <si>
    <t>Networks</t>
  </si>
  <si>
    <t>Sem</t>
  </si>
  <si>
    <t>Students</t>
  </si>
  <si>
    <t>Share</t>
  </si>
  <si>
    <t>Minimum Load:</t>
  </si>
  <si>
    <t>Assigned Load</t>
  </si>
  <si>
    <t>Total:</t>
  </si>
  <si>
    <t>Allocated Load</t>
  </si>
  <si>
    <t>Academic</t>
  </si>
  <si>
    <t>Academic Preference</t>
  </si>
  <si>
    <t>School</t>
  </si>
  <si>
    <t>Load</t>
  </si>
  <si>
    <t>Unit Load</t>
  </si>
  <si>
    <t>Actual Load</t>
  </si>
  <si>
    <t>Load Error</t>
  </si>
  <si>
    <t xml:space="preserve"> Mantis Tobogan</t>
  </si>
  <si>
    <t>CS</t>
  </si>
  <si>
    <t xml:space="preserve"> Kom Poota</t>
  </si>
  <si>
    <t xml:space="preserve"> Sergine Aldéric </t>
  </si>
  <si>
    <t xml:space="preserve"> Dennis Darren </t>
  </si>
  <si>
    <t xml:space="preserve"> Timotha Lanny </t>
  </si>
  <si>
    <t xml:space="preserve"> Lorrie Sheila </t>
  </si>
  <si>
    <t xml:space="preserve"> Nia Kerena </t>
  </si>
  <si>
    <t xml:space="preserve"> Avice Preston </t>
  </si>
  <si>
    <t xml:space="preserve"> Hellen Tatianna </t>
  </si>
  <si>
    <t>Total</t>
  </si>
</sst>
</file>

<file path=xl/styles.xml><?xml version="1.0" encoding="utf-8"?>
<styleSheet xmlns="http://schemas.openxmlformats.org/spreadsheetml/2006/main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41" formatCode="_-* #,##0_-;\-* #,##0_-;_-* &quot;-&quot;_-;_-@_-"/>
    <numFmt numFmtId="42" formatCode="_-&quot;$&quot;* #,##0_-;\-&quot;$&quot;* #,##0_-;_-&quot;$&quot;* &quot;-&quot;_-;_-@_-"/>
    <numFmt numFmtId="176" formatCode="0.0"/>
  </numFmts>
  <fonts count="28">
    <font>
      <sz val="11"/>
      <color rgb="FF000000"/>
      <name val="Calibri"/>
      <charset val="1"/>
    </font>
    <font>
      <b/>
      <sz val="11"/>
      <color rgb="FF000000"/>
      <name val="Calibri"/>
      <charset val="1"/>
    </font>
    <font>
      <sz val="11"/>
      <name val="Calibri"/>
      <charset val="1"/>
    </font>
    <font>
      <b/>
      <sz val="11"/>
      <color rgb="FFC00000"/>
      <name val="Calibri"/>
      <charset val="1"/>
    </font>
    <font>
      <sz val="11"/>
      <color rgb="FFC00000"/>
      <name val="Calibri"/>
      <charset val="1"/>
    </font>
    <font>
      <sz val="11"/>
      <color rgb="FFFF0000"/>
      <name val="Calibri"/>
      <charset val="1"/>
    </font>
    <font>
      <b/>
      <sz val="11"/>
      <color rgb="FFFA7D00"/>
      <name val="Calibri"/>
      <charset val="1"/>
    </font>
    <font>
      <sz val="11"/>
      <color theme="1"/>
      <name val="Calibri"/>
      <charset val="134"/>
      <scheme val="minor"/>
    </font>
    <font>
      <sz val="9"/>
      <name val="Arial"/>
      <charset val="1"/>
    </font>
    <font>
      <b/>
      <sz val="11"/>
      <color rgb="FF3F3F3F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3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FF00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D7E4BD"/>
        <bgColor rgb="FFF2F2F2"/>
      </patternFill>
    </fill>
    <fill>
      <patternFill patternType="solid">
        <fgColor rgb="FFF2F2F2"/>
        <bgColor rgb="FFFFFFCC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/>
    <xf numFmtId="0" fontId="10" fillId="7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12" borderId="5" applyNumberFormat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7" fillId="13" borderId="6" applyNumberFormat="0" applyFont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18" borderId="2" applyNumberFormat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9" fillId="4" borderId="3" applyNumberFormat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4" borderId="2" applyNumberFormat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8" fillId="0" borderId="0"/>
    <xf numFmtId="0" fontId="10" fillId="17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6" fillId="3" borderId="2" applyProtection="0"/>
    <xf numFmtId="0" fontId="10" fillId="28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8" fillId="0" borderId="0"/>
  </cellStyleXfs>
  <cellXfs count="41">
    <xf numFmtId="0" fontId="0" fillId="0" borderId="0" xfId="0"/>
    <xf numFmtId="0" fontId="1" fillId="0" borderId="0" xfId="0" applyFont="1"/>
    <xf numFmtId="0" fontId="0" fillId="0" borderId="0" xfId="0" applyFont="1" applyAlignment="1">
      <alignment horizontal="center" vertical="center" textRotation="180"/>
    </xf>
    <xf numFmtId="0" fontId="1" fillId="0" borderId="0" xfId="0" applyFont="1" applyAlignment="1">
      <alignment horizontal="right"/>
    </xf>
    <xf numFmtId="0" fontId="0" fillId="0" borderId="0" xfId="0" applyFont="1" applyAlignment="1">
      <alignment horizontal="center" vertical="center" textRotation="180"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0" fillId="0" borderId="0" xfId="0" applyFill="1"/>
    <xf numFmtId="176" fontId="0" fillId="0" borderId="0" xfId="0" applyNumberFormat="1"/>
    <xf numFmtId="0" fontId="3" fillId="0" borderId="1" xfId="0" applyFont="1" applyBorder="1"/>
    <xf numFmtId="0" fontId="0" fillId="0" borderId="0" xfId="0" applyFont="1" applyFill="1"/>
    <xf numFmtId="0" fontId="0" fillId="0" borderId="0" xfId="0" applyFill="1" applyBorder="1"/>
    <xf numFmtId="0" fontId="0" fillId="0" borderId="0" xfId="0" applyBorder="1"/>
    <xf numFmtId="176" fontId="0" fillId="0" borderId="0" xfId="0" applyNumberFormat="1" applyBorder="1"/>
    <xf numFmtId="0" fontId="0" fillId="0" borderId="0" xfId="0" applyFont="1" applyFill="1" applyBorder="1"/>
    <xf numFmtId="0" fontId="1" fillId="0" borderId="0" xfId="0" applyFont="1" applyFill="1"/>
    <xf numFmtId="0" fontId="3" fillId="0" borderId="0" xfId="0" applyFont="1"/>
    <xf numFmtId="0" fontId="0" fillId="2" borderId="0" xfId="0" applyFont="1" applyFill="1"/>
    <xf numFmtId="0" fontId="4" fillId="0" borderId="0" xfId="0" applyFont="1"/>
    <xf numFmtId="0" fontId="5" fillId="0" borderId="0" xfId="0" applyFont="1"/>
    <xf numFmtId="176" fontId="4" fillId="0" borderId="0" xfId="0" applyNumberFormat="1" applyFont="1" applyAlignment="1">
      <alignment horizontal="center" vertical="center"/>
    </xf>
    <xf numFmtId="0" fontId="2" fillId="0" borderId="0" xfId="0" applyFont="1"/>
    <xf numFmtId="2" fontId="0" fillId="0" borderId="0" xfId="0" applyNumberFormat="1"/>
    <xf numFmtId="0" fontId="0" fillId="0" borderId="1" xfId="0" applyBorder="1"/>
    <xf numFmtId="0" fontId="2" fillId="0" borderId="0" xfId="0" applyFont="1" applyBorder="1"/>
    <xf numFmtId="0" fontId="4" fillId="0" borderId="0" xfId="0" applyFont="1" applyBorder="1"/>
    <xf numFmtId="0" fontId="3" fillId="0" borderId="0" xfId="0" applyFont="1" applyBorder="1"/>
    <xf numFmtId="0" fontId="1" fillId="0" borderId="0" xfId="0" applyFont="1" applyBorder="1"/>
    <xf numFmtId="0" fontId="0" fillId="0" borderId="0" xfId="0" applyFont="1" applyBorder="1" applyAlignment="1">
      <alignment horizontal="center" vertical="center" textRotation="180"/>
    </xf>
    <xf numFmtId="0" fontId="0" fillId="0" borderId="0" xfId="0" applyFont="1" applyBorder="1" applyAlignment="1">
      <alignment horizontal="center" vertical="center" textRotation="180" wrapText="1"/>
    </xf>
    <xf numFmtId="0" fontId="0" fillId="0" borderId="0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0" fontId="6" fillId="3" borderId="0" xfId="43" applyBorder="1" applyAlignment="1" applyProtection="1"/>
    <xf numFmtId="0" fontId="0" fillId="0" borderId="2" xfId="0" applyBorder="1"/>
  </cellXfs>
  <cellStyles count="52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Normal 2" xfId="32"/>
    <cellStyle name="20% - Accent5" xfId="33" builtinId="46"/>
    <cellStyle name="60% - Accent1" xfId="34" builtinId="32"/>
    <cellStyle name="Accent2" xfId="35" builtinId="33"/>
    <cellStyle name="20% - Accent2" xfId="36" builtinId="34"/>
    <cellStyle name="20% - Accent6" xfId="37" builtinId="50"/>
    <cellStyle name="60% - Accent2" xfId="38" builtinId="36"/>
    <cellStyle name="Accent3" xfId="39" builtinId="37"/>
    <cellStyle name="20% - Accent3" xfId="40" builtinId="38"/>
    <cellStyle name="Accent4" xfId="41" builtinId="41"/>
    <cellStyle name="20% - Accent4" xfId="42" builtinId="42"/>
    <cellStyle name="Excel Built-in Calculation" xfId="43"/>
    <cellStyle name="40% - Accent4" xfId="44" builtinId="43"/>
    <cellStyle name="Accent5" xfId="45" builtinId="45"/>
    <cellStyle name="40% - Accent5" xfId="46" builtinId="47"/>
    <cellStyle name="60% - Accent5" xfId="47" builtinId="48"/>
    <cellStyle name="Accent6" xfId="48" builtinId="49"/>
    <cellStyle name="40% - Accent6" xfId="49" builtinId="51"/>
    <cellStyle name="60% - Accent6" xfId="50" builtinId="52"/>
    <cellStyle name="Normal 2 2" xfId="51"/>
  </cellStyles>
  <dxfs count="2">
    <dxf>
      <fill>
        <patternFill patternType="solid">
          <bgColor rgb="FFC0504D"/>
        </patternFill>
      </fill>
    </dxf>
    <dxf>
      <font>
        <color rgb="FFFFFFFF"/>
      </font>
      <fill>
        <patternFill patternType="solid">
          <bgColor rgb="FF9BBB5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C00000"/>
      <rgbColor rgb="00008000"/>
      <rgbColor rgb="00000080"/>
      <rgbColor rgb="00808000"/>
      <rgbColor rgb="00800080"/>
      <rgbColor rgb="00008080"/>
      <rgbColor rgb="00C0C0C0"/>
      <rgbColor rgb="007F7F7F"/>
      <rgbColor rgb="009999FF"/>
      <rgbColor rgb="00C0504D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7E4BD"/>
      <rgbColor rgb="00FFFF99"/>
      <rgbColor rgb="0099CCFF"/>
      <rgbColor rgb="00FF99CC"/>
      <rgbColor rgb="00CC99FF"/>
      <rgbColor rgb="00FFCC99"/>
      <rgbColor rgb="003366FF"/>
      <rgbColor rgb="0033CCCC"/>
      <rgbColor rgb="009BBB59"/>
      <rgbColor rgb="00FFCC00"/>
      <rgbColor rgb="00FF9900"/>
      <rgbColor rgb="00FA7D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O49"/>
  <sheetViews>
    <sheetView tabSelected="1" workbookViewId="0">
      <pane xSplit="7" ySplit="8" topLeftCell="H9" activePane="bottomRight" state="frozen"/>
      <selection/>
      <selection pane="topRight"/>
      <selection pane="bottomLeft"/>
      <selection pane="bottomRight" activeCell="L19" sqref="L19"/>
    </sheetView>
  </sheetViews>
  <sheetFormatPr defaultColWidth="8.57407407407407" defaultRowHeight="14.4"/>
  <cols>
    <col min="1" max="1" width="27.4259259259259" customWidth="1"/>
    <col min="2" max="2" width="10.6666666666667" customWidth="1"/>
    <col min="3" max="3" width="6.57407407407407" customWidth="1"/>
    <col min="4" max="4" width="6.42592592592593" customWidth="1"/>
    <col min="5" max="5" width="5.85185185185185" customWidth="1"/>
    <col min="6" max="6" width="7.42592592592593" customWidth="1"/>
    <col min="7" max="7" width="6.42592592592593" customWidth="1"/>
    <col min="8" max="32" width="5.57407407407407" customWidth="1"/>
    <col min="33" max="33" width="6.42592592592593" customWidth="1"/>
    <col min="34" max="62" width="5.57407407407407" customWidth="1"/>
    <col min="63" max="63" width="5.85185185185185" customWidth="1"/>
    <col min="64" max="84" width="5.57407407407407" customWidth="1"/>
    <col min="91" max="93" width="5.57407407407407" customWidth="1"/>
  </cols>
  <sheetData>
    <row r="1" ht="31" customHeight="1" spans="7:93">
      <c r="G1" s="1" t="s">
        <v>0</v>
      </c>
      <c r="H1" s="2" t="s">
        <v>1</v>
      </c>
      <c r="I1" s="2" t="s">
        <v>1</v>
      </c>
      <c r="J1" s="2" t="s">
        <v>2</v>
      </c>
      <c r="K1" s="2" t="s">
        <v>2</v>
      </c>
      <c r="L1" s="2" t="s">
        <v>3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</v>
      </c>
      <c r="R1" s="2" t="s">
        <v>9</v>
      </c>
      <c r="S1" s="2" t="s">
        <v>10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33"/>
      <c r="CM1" s="2"/>
      <c r="CN1" s="2"/>
      <c r="CO1" s="2"/>
    </row>
    <row r="2" ht="34" customHeight="1" spans="1:93">
      <c r="A2" s="3" t="s">
        <v>11</v>
      </c>
      <c r="B2" s="3"/>
      <c r="C2">
        <f>U6/D19</f>
        <v>2.01859827965275</v>
      </c>
      <c r="G2" s="1" t="s">
        <v>12</v>
      </c>
      <c r="H2" s="4" t="s">
        <v>13</v>
      </c>
      <c r="I2" s="4" t="s">
        <v>13</v>
      </c>
      <c r="J2" s="4" t="s">
        <v>14</v>
      </c>
      <c r="K2" s="4" t="s">
        <v>14</v>
      </c>
      <c r="L2" s="4" t="s">
        <v>15</v>
      </c>
      <c r="M2" s="4" t="s">
        <v>16</v>
      </c>
      <c r="N2" s="4" t="s">
        <v>17</v>
      </c>
      <c r="O2" s="4" t="s">
        <v>18</v>
      </c>
      <c r="P2" s="4" t="s">
        <v>19</v>
      </c>
      <c r="Q2" s="4" t="s">
        <v>20</v>
      </c>
      <c r="R2" s="4" t="s">
        <v>21</v>
      </c>
      <c r="S2" s="4" t="s">
        <v>22</v>
      </c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34"/>
      <c r="CM2" s="4"/>
      <c r="CN2" s="4"/>
      <c r="CO2" s="4"/>
    </row>
    <row r="3" ht="20.1" customHeight="1" spans="1:93">
      <c r="A3" s="5"/>
      <c r="B3" s="5"/>
      <c r="G3" s="1" t="s">
        <v>23</v>
      </c>
      <c r="H3" s="6">
        <v>1</v>
      </c>
      <c r="I3" s="6">
        <v>2</v>
      </c>
      <c r="J3" s="6">
        <v>1</v>
      </c>
      <c r="K3" s="6">
        <v>2</v>
      </c>
      <c r="L3" s="6">
        <v>1</v>
      </c>
      <c r="M3" s="6">
        <v>2</v>
      </c>
      <c r="N3" s="6">
        <v>2</v>
      </c>
      <c r="O3" s="6">
        <v>1</v>
      </c>
      <c r="P3" s="6">
        <v>2</v>
      </c>
      <c r="Q3" s="6">
        <v>1</v>
      </c>
      <c r="R3" s="6">
        <v>1</v>
      </c>
      <c r="S3" s="6">
        <v>2</v>
      </c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35"/>
      <c r="CM3" s="6"/>
      <c r="CN3" s="6"/>
      <c r="CO3" s="6"/>
    </row>
    <row r="4" ht="17.45" customHeight="1" spans="7:93">
      <c r="G4" s="3" t="s">
        <v>24</v>
      </c>
      <c r="H4" s="7">
        <v>490</v>
      </c>
      <c r="I4" s="7">
        <v>610</v>
      </c>
      <c r="J4" s="7">
        <v>610</v>
      </c>
      <c r="K4" s="7">
        <v>670</v>
      </c>
      <c r="L4" s="7">
        <v>680</v>
      </c>
      <c r="M4" s="7">
        <v>180</v>
      </c>
      <c r="N4" s="7">
        <v>50</v>
      </c>
      <c r="O4" s="7">
        <v>400</v>
      </c>
      <c r="P4" s="7">
        <v>550</v>
      </c>
      <c r="Q4" s="7">
        <v>500</v>
      </c>
      <c r="R4" s="7">
        <v>600</v>
      </c>
      <c r="S4" s="7">
        <v>630</v>
      </c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36"/>
      <c r="CM4" s="7"/>
      <c r="CN4" s="7"/>
      <c r="CO4" s="7"/>
    </row>
    <row r="5" ht="18" customHeight="1" spans="7:93">
      <c r="G5" s="1" t="s">
        <v>25</v>
      </c>
      <c r="H5" s="8">
        <v>1</v>
      </c>
      <c r="I5" s="8">
        <v>1</v>
      </c>
      <c r="J5" s="8">
        <v>0.6</v>
      </c>
      <c r="K5" s="25">
        <v>0</v>
      </c>
      <c r="L5" s="8">
        <v>1</v>
      </c>
      <c r="M5" s="8">
        <v>1</v>
      </c>
      <c r="N5" s="8">
        <v>0.5</v>
      </c>
      <c r="O5" s="8">
        <v>1</v>
      </c>
      <c r="P5" s="8">
        <v>1</v>
      </c>
      <c r="Q5" s="8">
        <v>1</v>
      </c>
      <c r="R5" s="8">
        <v>1</v>
      </c>
      <c r="S5" s="8">
        <v>1</v>
      </c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25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37"/>
      <c r="CM5" s="8"/>
      <c r="CN5" s="8"/>
      <c r="CO5" s="8"/>
    </row>
    <row r="6" ht="20.1" customHeight="1" spans="1:93">
      <c r="A6" s="3" t="s">
        <v>26</v>
      </c>
      <c r="B6" s="3"/>
      <c r="C6">
        <v>0.8</v>
      </c>
      <c r="G6" s="3" t="s">
        <v>27</v>
      </c>
      <c r="H6" s="9">
        <f t="shared" ref="H6:S6" si="0">MAX(LOG10(H4/7),$C$6)*H5</f>
        <v>1.84509804001426</v>
      </c>
      <c r="I6" s="9">
        <f t="shared" si="0"/>
        <v>1.94023179499651</v>
      </c>
      <c r="J6" s="9">
        <f t="shared" si="0"/>
        <v>1.16413907699791</v>
      </c>
      <c r="K6" s="9">
        <f t="shared" si="0"/>
        <v>0</v>
      </c>
      <c r="L6" s="9">
        <f t="shared" si="0"/>
        <v>1.98741087269198</v>
      </c>
      <c r="M6" s="9">
        <f t="shared" si="0"/>
        <v>1.41017446508905</v>
      </c>
      <c r="N6" s="9">
        <f t="shared" si="0"/>
        <v>0.426935982160881</v>
      </c>
      <c r="O6" s="9">
        <f t="shared" si="0"/>
        <v>1.75696195131371</v>
      </c>
      <c r="P6" s="9">
        <f t="shared" si="0"/>
        <v>1.89526464947999</v>
      </c>
      <c r="Q6" s="9">
        <f t="shared" si="0"/>
        <v>1.85387196432176</v>
      </c>
      <c r="R6" s="9">
        <f t="shared" si="0"/>
        <v>1.93305321036939</v>
      </c>
      <c r="S6" s="9">
        <f t="shared" si="0"/>
        <v>1.95424250943932</v>
      </c>
      <c r="T6" t="s">
        <v>28</v>
      </c>
      <c r="U6" s="27">
        <f>SUM(H6:S6)</f>
        <v>18.1673845168747</v>
      </c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38"/>
      <c r="CM6" s="9"/>
      <c r="CN6" s="9"/>
      <c r="CO6" s="9"/>
    </row>
    <row r="7" ht="21.95" customHeight="1" spans="7:93">
      <c r="G7" s="3" t="s">
        <v>29</v>
      </c>
      <c r="H7" s="6">
        <f t="shared" ref="H7:S7" si="1">SUM(H9:H49)</f>
        <v>1</v>
      </c>
      <c r="I7" s="6">
        <f t="shared" si="1"/>
        <v>1</v>
      </c>
      <c r="J7" s="6">
        <f t="shared" si="1"/>
        <v>1</v>
      </c>
      <c r="K7" s="6">
        <f t="shared" si="1"/>
        <v>0</v>
      </c>
      <c r="L7" s="6">
        <f t="shared" si="1"/>
        <v>1</v>
      </c>
      <c r="M7" s="6">
        <f t="shared" si="1"/>
        <v>1</v>
      </c>
      <c r="N7" s="6">
        <f t="shared" si="1"/>
        <v>1</v>
      </c>
      <c r="O7" s="6">
        <f t="shared" si="1"/>
        <v>1</v>
      </c>
      <c r="P7" s="6">
        <f t="shared" si="1"/>
        <v>1</v>
      </c>
      <c r="Q7" s="6">
        <f t="shared" si="1"/>
        <v>1</v>
      </c>
      <c r="R7" s="6">
        <f t="shared" si="1"/>
        <v>1</v>
      </c>
      <c r="S7" s="6">
        <f t="shared" si="1"/>
        <v>0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35"/>
      <c r="CM7" s="6"/>
      <c r="CN7" s="6"/>
      <c r="CO7" s="6"/>
    </row>
    <row r="8" ht="28.8" spans="1:93">
      <c r="A8" s="10" t="s">
        <v>30</v>
      </c>
      <c r="B8" s="11" t="s">
        <v>31</v>
      </c>
      <c r="C8" s="10" t="s">
        <v>32</v>
      </c>
      <c r="D8" s="10" t="s">
        <v>33</v>
      </c>
      <c r="E8" s="10" t="s">
        <v>34</v>
      </c>
      <c r="F8" s="10" t="s">
        <v>35</v>
      </c>
      <c r="G8" s="10" t="s">
        <v>36</v>
      </c>
      <c r="H8" s="6">
        <f t="shared" ref="H8:S8" si="2">IF(H5&lt;&gt;0,H7-1,H7)</f>
        <v>0</v>
      </c>
      <c r="I8" s="6">
        <f t="shared" si="2"/>
        <v>0</v>
      </c>
      <c r="J8" s="6">
        <f t="shared" si="2"/>
        <v>0</v>
      </c>
      <c r="K8" s="6">
        <f t="shared" si="2"/>
        <v>0</v>
      </c>
      <c r="L8" s="6">
        <f t="shared" si="2"/>
        <v>0</v>
      </c>
      <c r="M8" s="6">
        <f t="shared" si="2"/>
        <v>0</v>
      </c>
      <c r="N8" s="6">
        <f t="shared" si="2"/>
        <v>0</v>
      </c>
      <c r="O8" s="6">
        <f t="shared" si="2"/>
        <v>0</v>
      </c>
      <c r="P8" s="6">
        <f t="shared" si="2"/>
        <v>0</v>
      </c>
      <c r="Q8" s="6">
        <f t="shared" si="2"/>
        <v>0</v>
      </c>
      <c r="R8" s="6">
        <f t="shared" si="2"/>
        <v>0</v>
      </c>
      <c r="S8" s="6">
        <f t="shared" si="2"/>
        <v>-1</v>
      </c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35"/>
      <c r="CM8" s="6"/>
      <c r="CN8" s="6"/>
      <c r="CO8" s="6"/>
    </row>
    <row r="9" spans="1:84">
      <c r="A9" t="s">
        <v>37</v>
      </c>
      <c r="B9" s="12" t="s">
        <v>2</v>
      </c>
      <c r="C9" t="s">
        <v>38</v>
      </c>
      <c r="D9">
        <v>1</v>
      </c>
      <c r="E9" s="13">
        <f t="shared" ref="E9:E17" si="3">D9*$C$2</f>
        <v>2.01859827965275</v>
      </c>
      <c r="F9" s="13">
        <f>SUMPRODUCT(H$6:CF$6,H9:CF9)</f>
        <v>1.84509804001426</v>
      </c>
      <c r="G9" s="13">
        <f t="shared" ref="G9:G17" si="4">F9-E9</f>
        <v>-0.173500239638493</v>
      </c>
      <c r="H9" s="14">
        <v>1</v>
      </c>
      <c r="Y9" s="1"/>
      <c r="CF9" s="17"/>
    </row>
    <row r="10" spans="1:37">
      <c r="A10" t="s">
        <v>39</v>
      </c>
      <c r="B10" s="15" t="s">
        <v>1</v>
      </c>
      <c r="C10" t="s">
        <v>38</v>
      </c>
      <c r="D10">
        <v>1</v>
      </c>
      <c r="E10" s="13">
        <f t="shared" si="3"/>
        <v>2.01859827965275</v>
      </c>
      <c r="F10" s="13">
        <f t="shared" ref="F9:F17" si="5">SUMPRODUCT(H$6:CF$6,H10:CF10)</f>
        <v>1.94023179499651</v>
      </c>
      <c r="G10" s="13">
        <f t="shared" si="4"/>
        <v>-0.0783664846562395</v>
      </c>
      <c r="I10">
        <v>1</v>
      </c>
      <c r="AJ10" s="21"/>
      <c r="AK10" s="1"/>
    </row>
    <row r="11" spans="1:84">
      <c r="A11" t="s">
        <v>40</v>
      </c>
      <c r="B11" s="15" t="s">
        <v>3</v>
      </c>
      <c r="C11" t="s">
        <v>38</v>
      </c>
      <c r="D11">
        <v>1</v>
      </c>
      <c r="E11" s="13">
        <f t="shared" si="3"/>
        <v>2.01859827965275</v>
      </c>
      <c r="F11" s="13">
        <f t="shared" si="5"/>
        <v>1.16413907699791</v>
      </c>
      <c r="G11" s="13">
        <f t="shared" si="4"/>
        <v>-0.854459202654844</v>
      </c>
      <c r="J11">
        <v>1</v>
      </c>
      <c r="AE11" s="1"/>
      <c r="AN11" s="1"/>
      <c r="AO11" s="1"/>
      <c r="CF11" s="17"/>
    </row>
    <row r="12" spans="1:84">
      <c r="A12" t="s">
        <v>41</v>
      </c>
      <c r="B12" s="12" t="s">
        <v>4</v>
      </c>
      <c r="C12" t="s">
        <v>38</v>
      </c>
      <c r="D12">
        <v>1</v>
      </c>
      <c r="E12" s="13">
        <f t="shared" si="3"/>
        <v>2.01859827965275</v>
      </c>
      <c r="F12" s="13">
        <f t="shared" si="5"/>
        <v>1.98741087269198</v>
      </c>
      <c r="G12" s="13">
        <f t="shared" si="4"/>
        <v>-0.0311874069607703</v>
      </c>
      <c r="L12">
        <v>1</v>
      </c>
      <c r="BD12" s="1"/>
      <c r="BE12" s="1"/>
      <c r="CF12" s="17"/>
    </row>
    <row r="13" spans="1:91">
      <c r="A13" t="s">
        <v>42</v>
      </c>
      <c r="B13" s="16" t="s">
        <v>1</v>
      </c>
      <c r="C13" t="s">
        <v>38</v>
      </c>
      <c r="D13" s="17">
        <v>1</v>
      </c>
      <c r="E13" s="18">
        <f t="shared" si="3"/>
        <v>2.01859827965275</v>
      </c>
      <c r="F13" s="18">
        <f t="shared" si="5"/>
        <v>1.83711044724993</v>
      </c>
      <c r="G13" s="18">
        <f t="shared" si="4"/>
        <v>-0.181487832402819</v>
      </c>
      <c r="M13" s="17">
        <v>1</v>
      </c>
      <c r="N13">
        <v>1</v>
      </c>
      <c r="O13" s="17"/>
      <c r="T13" s="17"/>
      <c r="AH13" s="17"/>
      <c r="AI13" s="17"/>
      <c r="AL13" s="17"/>
      <c r="AM13" s="17"/>
      <c r="AP13" s="17"/>
      <c r="AQ13" s="17"/>
      <c r="BF13" s="17"/>
      <c r="BG13" s="17"/>
      <c r="BK13" s="17"/>
      <c r="BP13" s="17"/>
      <c r="BT13" s="17"/>
      <c r="BU13" s="17"/>
      <c r="BV13" s="31"/>
      <c r="BW13" s="17"/>
      <c r="BX13" s="17"/>
      <c r="BY13" s="17"/>
      <c r="BZ13" s="17"/>
      <c r="CA13" s="17"/>
      <c r="CB13" s="17"/>
      <c r="CC13" s="32"/>
      <c r="CD13" s="17"/>
      <c r="CE13" s="32"/>
      <c r="CF13" s="17"/>
      <c r="CM13" s="17"/>
    </row>
    <row r="14" spans="1:84">
      <c r="A14" t="s">
        <v>43</v>
      </c>
      <c r="B14" s="12" t="s">
        <v>8</v>
      </c>
      <c r="C14" t="s">
        <v>38</v>
      </c>
      <c r="D14">
        <v>1</v>
      </c>
      <c r="E14" s="13">
        <f t="shared" si="3"/>
        <v>2.01859827965275</v>
      </c>
      <c r="F14" s="13">
        <f t="shared" si="5"/>
        <v>1.75696195131371</v>
      </c>
      <c r="G14" s="13">
        <f t="shared" si="4"/>
        <v>-0.261636328339044</v>
      </c>
      <c r="O14">
        <v>1</v>
      </c>
      <c r="AL14" s="21"/>
      <c r="AM14" s="21"/>
      <c r="BP14" s="21"/>
      <c r="CF14" s="17"/>
    </row>
    <row r="15" spans="1:91">
      <c r="A15" t="s">
        <v>44</v>
      </c>
      <c r="B15" s="12" t="s">
        <v>9</v>
      </c>
      <c r="C15" t="s">
        <v>38</v>
      </c>
      <c r="D15">
        <v>1</v>
      </c>
      <c r="E15" s="13">
        <f t="shared" si="3"/>
        <v>2.01859827965275</v>
      </c>
      <c r="F15" s="13">
        <f t="shared" si="5"/>
        <v>1.89526464947999</v>
      </c>
      <c r="G15" s="13">
        <f t="shared" si="4"/>
        <v>-0.123333630172763</v>
      </c>
      <c r="P15" s="23">
        <v>1</v>
      </c>
      <c r="AR15" s="1"/>
      <c r="AS15" s="1"/>
      <c r="CM15" s="17"/>
    </row>
    <row r="16" spans="1:84">
      <c r="A16" t="s">
        <v>45</v>
      </c>
      <c r="B16" s="19" t="s">
        <v>2</v>
      </c>
      <c r="C16" t="s">
        <v>38</v>
      </c>
      <c r="D16" s="17">
        <v>1</v>
      </c>
      <c r="E16" s="18">
        <f t="shared" si="3"/>
        <v>2.01859827965275</v>
      </c>
      <c r="F16" s="18">
        <f t="shared" si="5"/>
        <v>1.85387196432176</v>
      </c>
      <c r="G16" s="18">
        <f t="shared" si="4"/>
        <v>-0.164726315330988</v>
      </c>
      <c r="M16" s="17"/>
      <c r="O16" s="17"/>
      <c r="Q16">
        <v>1</v>
      </c>
      <c r="T16" s="17"/>
      <c r="AH16" s="17"/>
      <c r="AI16" s="17"/>
      <c r="AL16" s="17"/>
      <c r="AM16" s="17"/>
      <c r="AP16" s="17"/>
      <c r="AQ16" s="17"/>
      <c r="BF16" s="17"/>
      <c r="BG16" s="17"/>
      <c r="BK16" s="17"/>
      <c r="BP16" s="30"/>
      <c r="BT16" s="17"/>
      <c r="BU16" s="17"/>
      <c r="BV16" s="17"/>
      <c r="BW16" s="17"/>
      <c r="BX16" s="32"/>
      <c r="BY16" s="17"/>
      <c r="BZ16" s="32"/>
      <c r="CA16" s="17"/>
      <c r="CB16" s="17"/>
      <c r="CC16" s="17"/>
      <c r="CD16" s="17"/>
      <c r="CE16" s="17"/>
      <c r="CF16" s="17"/>
    </row>
    <row r="17" spans="1:91">
      <c r="A17" t="s">
        <v>46</v>
      </c>
      <c r="B17" s="12" t="s">
        <v>10</v>
      </c>
      <c r="C17" t="s">
        <v>38</v>
      </c>
      <c r="D17">
        <v>1</v>
      </c>
      <c r="E17" s="13">
        <f t="shared" si="3"/>
        <v>2.01859827965275</v>
      </c>
      <c r="F17" s="13">
        <f t="shared" si="5"/>
        <v>1.93305321036939</v>
      </c>
      <c r="G17" s="13">
        <f t="shared" si="4"/>
        <v>-0.085545069283363</v>
      </c>
      <c r="R17">
        <v>1</v>
      </c>
      <c r="AA17" s="1"/>
      <c r="AM17" s="23"/>
      <c r="AQ17" s="21"/>
      <c r="AW17" s="17"/>
      <c r="BK17" s="1"/>
      <c r="CF17" s="17"/>
      <c r="CM17" s="39"/>
    </row>
    <row r="18" spans="2:84">
      <c r="B18" s="12"/>
      <c r="E18" s="13"/>
      <c r="F18" s="13"/>
      <c r="G18" s="13"/>
      <c r="W18" s="1"/>
      <c r="X18" s="1"/>
      <c r="CF18" s="17"/>
    </row>
    <row r="19" spans="1:84">
      <c r="A19" s="1" t="str">
        <f ca="1">TEXT(COUNTA(A9:A49),"0")&amp;" bodies"</f>
        <v>9 bodies</v>
      </c>
      <c r="B19" s="20"/>
      <c r="C19" s="1" t="s">
        <v>47</v>
      </c>
      <c r="D19" s="1">
        <f>SUM(D9:D17)</f>
        <v>9</v>
      </c>
      <c r="E19" s="13"/>
      <c r="F19" s="13"/>
      <c r="G19" s="13"/>
      <c r="AH19" s="1"/>
      <c r="AI19" s="21"/>
      <c r="CF19" s="17"/>
    </row>
    <row r="20" spans="2:7">
      <c r="B20" s="12"/>
      <c r="E20" s="13"/>
      <c r="F20" s="13"/>
      <c r="G20" s="13"/>
    </row>
    <row r="21" spans="2:59">
      <c r="B21" s="12"/>
      <c r="E21" s="13"/>
      <c r="F21" s="13"/>
      <c r="G21" s="13"/>
      <c r="M21" s="23"/>
      <c r="T21" s="23"/>
      <c r="BF21" s="21"/>
      <c r="BG21" s="21"/>
    </row>
    <row r="22" spans="2:84">
      <c r="B22" s="16"/>
      <c r="D22" s="17"/>
      <c r="E22" s="18"/>
      <c r="F22" s="18"/>
      <c r="G22" s="18"/>
      <c r="M22" s="17"/>
      <c r="O22" s="17"/>
      <c r="T22" s="17"/>
      <c r="AH22" s="17"/>
      <c r="AI22" s="17"/>
      <c r="AJ22" s="17"/>
      <c r="AL22" s="17"/>
      <c r="AM22" s="17"/>
      <c r="AP22" s="17"/>
      <c r="AQ22" s="17"/>
      <c r="BF22" s="17"/>
      <c r="BG22" s="17"/>
      <c r="BK22" s="17"/>
      <c r="BP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</row>
    <row r="23" spans="2:84">
      <c r="B23" s="15"/>
      <c r="E23" s="13"/>
      <c r="F23" s="13"/>
      <c r="G23" s="13"/>
      <c r="AT23" s="1"/>
      <c r="AU23" s="1"/>
      <c r="AX23" s="1"/>
      <c r="AY23" s="1"/>
      <c r="AZ23" s="21"/>
      <c r="BA23" s="1"/>
      <c r="CF23" s="17"/>
    </row>
    <row r="24" spans="2:84">
      <c r="B24" s="12"/>
      <c r="E24" s="13"/>
      <c r="F24" s="13"/>
      <c r="G24" s="13"/>
      <c r="CF24" s="17"/>
    </row>
    <row r="25" spans="2:91">
      <c r="B25" s="12"/>
      <c r="E25" s="13"/>
      <c r="F25" s="13"/>
      <c r="G25" s="13"/>
      <c r="CF25" s="17"/>
      <c r="CM25" s="17"/>
    </row>
    <row r="26" spans="2:91">
      <c r="B26" s="16"/>
      <c r="D26" s="17"/>
      <c r="E26" s="18"/>
      <c r="F26" s="18"/>
      <c r="G26" s="18"/>
      <c r="M26" s="17"/>
      <c r="O26" s="17"/>
      <c r="T26" s="17"/>
      <c r="AH26" s="17"/>
      <c r="AI26" s="17"/>
      <c r="AL26" s="17"/>
      <c r="AM26" s="17"/>
      <c r="AP26" s="17"/>
      <c r="AQ26" s="17"/>
      <c r="BF26" s="17"/>
      <c r="BG26" s="17"/>
      <c r="BK26" s="17"/>
      <c r="BP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M26" s="17"/>
    </row>
    <row r="27" spans="5:91">
      <c r="E27" s="13"/>
      <c r="F27" s="13"/>
      <c r="G27" s="13"/>
      <c r="T27" s="21"/>
      <c r="BF27" s="21"/>
      <c r="BG27" s="21"/>
      <c r="BT27" s="23"/>
      <c r="BU27" s="23"/>
      <c r="BV27" s="23"/>
      <c r="BW27" s="23"/>
      <c r="CM27" s="40"/>
    </row>
    <row r="28" spans="5:59">
      <c r="E28" s="13"/>
      <c r="F28" s="13"/>
      <c r="G28" s="13"/>
      <c r="T28" s="21"/>
      <c r="AL28" s="23"/>
      <c r="BF28" s="23"/>
      <c r="BG28" s="23"/>
    </row>
    <row r="29" spans="5:91">
      <c r="E29" s="13"/>
      <c r="F29" s="13"/>
      <c r="G29" s="13"/>
      <c r="AE29" s="23"/>
      <c r="AG29" s="17"/>
      <c r="BS29" s="21"/>
      <c r="CF29" s="17"/>
      <c r="CM29" s="17"/>
    </row>
    <row r="30" spans="5:84">
      <c r="E30" s="13"/>
      <c r="F30" s="13"/>
      <c r="G30" s="13"/>
      <c r="BV30" s="23"/>
      <c r="CA30" s="1"/>
      <c r="CD30" s="1"/>
      <c r="CF30" s="17"/>
    </row>
    <row r="31" spans="5:91">
      <c r="E31" s="13"/>
      <c r="F31" s="13"/>
      <c r="G31" s="13"/>
      <c r="S31" s="23"/>
      <c r="AE31" s="17"/>
      <c r="CM31" s="17"/>
    </row>
    <row r="32" spans="5:91">
      <c r="E32" s="13"/>
      <c r="F32" s="13"/>
      <c r="G32" s="13"/>
      <c r="H32" s="21"/>
      <c r="I32" s="1"/>
      <c r="CF32" s="17"/>
      <c r="CM32" s="17"/>
    </row>
    <row r="33" spans="5:91">
      <c r="E33" s="13"/>
      <c r="F33" s="13"/>
      <c r="G33" s="13"/>
      <c r="AZ33" s="23"/>
      <c r="BI33" s="1"/>
      <c r="BN33" s="1"/>
      <c r="CF33" s="17"/>
      <c r="CM33" s="17"/>
    </row>
    <row r="34" spans="5:91">
      <c r="E34" s="13"/>
      <c r="F34" s="13"/>
      <c r="G34" s="13"/>
      <c r="S34" s="1"/>
      <c r="AW34" s="1"/>
      <c r="CM34" s="17"/>
    </row>
    <row r="35" spans="5:75">
      <c r="E35" s="13"/>
      <c r="F35" s="13"/>
      <c r="G35" s="13"/>
      <c r="BT35" s="21"/>
      <c r="BU35" s="21"/>
      <c r="BV35" s="23"/>
      <c r="BW35" s="21"/>
    </row>
    <row r="36" spans="5:84">
      <c r="E36" s="13"/>
      <c r="F36" s="13"/>
      <c r="G36" s="13"/>
      <c r="AL36" s="21"/>
      <c r="AP36" s="21"/>
      <c r="AQ36" s="21"/>
      <c r="BJ36" s="1"/>
      <c r="CF36" s="17"/>
    </row>
    <row r="37" spans="5:84">
      <c r="E37" s="13"/>
      <c r="F37" s="13"/>
      <c r="G37" s="13"/>
      <c r="J37" s="1"/>
      <c r="CF37" s="17"/>
    </row>
    <row r="38" spans="5:91">
      <c r="E38" s="13"/>
      <c r="F38" s="13"/>
      <c r="G38" s="13"/>
      <c r="Z38" s="1"/>
      <c r="AE38" s="17"/>
      <c r="BO38" s="1"/>
      <c r="CM38" s="17"/>
    </row>
    <row r="39" spans="2:84">
      <c r="B39" s="22"/>
      <c r="E39" s="13"/>
      <c r="F39" s="13"/>
      <c r="G39" s="13"/>
      <c r="U39" s="1"/>
      <c r="AE39" s="28"/>
      <c r="AP39" s="23"/>
      <c r="AQ39" s="21"/>
      <c r="CF39" s="17"/>
    </row>
    <row r="40" spans="5:84">
      <c r="E40" s="13"/>
      <c r="F40" s="13"/>
      <c r="G40" s="13"/>
      <c r="O40" s="1"/>
      <c r="AB40" s="21"/>
      <c r="AE40" s="17"/>
      <c r="AM40" s="21"/>
      <c r="CF40" s="17"/>
    </row>
    <row r="41" spans="2:91">
      <c r="B41" s="22"/>
      <c r="E41" s="13"/>
      <c r="F41" s="13"/>
      <c r="G41" s="13"/>
      <c r="BB41" s="1"/>
      <c r="BC41" s="1"/>
      <c r="BM41" s="1"/>
      <c r="CM41" s="17"/>
    </row>
    <row r="42" spans="5:49">
      <c r="E42" s="13"/>
      <c r="F42" s="13"/>
      <c r="G42" s="13"/>
      <c r="P42" s="26"/>
      <c r="AV42" s="1"/>
      <c r="AW42" s="29"/>
    </row>
    <row r="43" spans="5:30">
      <c r="E43" s="13"/>
      <c r="F43" s="13"/>
      <c r="G43" s="13"/>
      <c r="L43" s="1"/>
      <c r="AD43" s="1"/>
    </row>
    <row r="44" spans="5:64">
      <c r="E44" s="13"/>
      <c r="F44" s="13"/>
      <c r="G44" s="13"/>
      <c r="V44" s="21"/>
      <c r="BL44" s="1"/>
    </row>
    <row r="45" spans="4:84">
      <c r="D45" s="17"/>
      <c r="E45" s="18"/>
      <c r="F45" s="18"/>
      <c r="G45" s="18"/>
      <c r="N45" s="1"/>
      <c r="AJ45" s="23"/>
      <c r="AK45" s="23"/>
      <c r="CF45" s="17"/>
    </row>
    <row r="46" spans="2:84">
      <c r="B46" s="17"/>
      <c r="D46" s="17"/>
      <c r="E46" s="18"/>
      <c r="F46" s="18"/>
      <c r="G46" s="18"/>
      <c r="H46" s="23"/>
      <c r="M46" s="17"/>
      <c r="O46" s="17"/>
      <c r="T46" s="17"/>
      <c r="AH46" s="17"/>
      <c r="AI46" s="17"/>
      <c r="AL46" s="17"/>
      <c r="AM46" s="17"/>
      <c r="BF46" s="17"/>
      <c r="BG46" s="17"/>
      <c r="BK46" s="17"/>
      <c r="BP46" s="17"/>
      <c r="BT46" s="17"/>
      <c r="BU46" s="17"/>
      <c r="BV46" s="17"/>
      <c r="BW46" s="17"/>
      <c r="BX46" s="17"/>
      <c r="BY46" s="32"/>
      <c r="BZ46" s="17"/>
      <c r="CA46" s="17"/>
      <c r="CB46" s="17"/>
      <c r="CC46" s="17"/>
      <c r="CD46" s="17"/>
      <c r="CE46" s="17"/>
      <c r="CF46" s="17"/>
    </row>
    <row r="47" spans="5:84">
      <c r="E47" s="13"/>
      <c r="F47" s="13"/>
      <c r="G47" s="13"/>
      <c r="BU47" s="23"/>
      <c r="CB47" s="1"/>
      <c r="CF47" s="32"/>
    </row>
    <row r="48" spans="5:84">
      <c r="E48" s="13"/>
      <c r="F48" s="13"/>
      <c r="G48" s="13"/>
      <c r="M48" s="21"/>
      <c r="T48" s="21"/>
      <c r="BF48" s="21"/>
      <c r="BG48" s="21"/>
      <c r="CF48" s="17"/>
    </row>
    <row r="49" spans="1:7">
      <c r="A49" s="24"/>
      <c r="E49" s="13"/>
      <c r="F49" s="13"/>
      <c r="G49" s="13"/>
    </row>
  </sheetData>
  <conditionalFormatting sqref="U8:V8">
    <cfRule type="expression" dxfId="0" priority="9">
      <formula>U8&lt;0</formula>
    </cfRule>
    <cfRule type="expression" dxfId="1" priority="10">
      <formula>U8&gt;0</formula>
    </cfRule>
  </conditionalFormatting>
  <conditionalFormatting sqref="W8:X8">
    <cfRule type="expression" dxfId="0" priority="11">
      <formula>W8&lt;0</formula>
    </cfRule>
    <cfRule type="expression" dxfId="1" priority="12">
      <formula>W8&gt;0</formula>
    </cfRule>
  </conditionalFormatting>
  <conditionalFormatting sqref="Z8:AA8">
    <cfRule type="expression" dxfId="0" priority="13">
      <formula>Z8&lt;0</formula>
    </cfRule>
    <cfRule type="expression" dxfId="1" priority="14">
      <formula>Z8&gt;0</formula>
    </cfRule>
  </conditionalFormatting>
  <conditionalFormatting sqref="AD8">
    <cfRule type="expression" dxfId="0" priority="17">
      <formula>AD8&lt;0</formula>
    </cfRule>
    <cfRule type="expression" dxfId="1" priority="18">
      <formula>AD8&gt;0</formula>
    </cfRule>
  </conditionalFormatting>
  <conditionalFormatting sqref="AE8">
    <cfRule type="expression" dxfId="0" priority="15">
      <formula>AE8&lt;0</formula>
    </cfRule>
    <cfRule type="expression" dxfId="1" priority="16">
      <formula>AE8&gt;0</formula>
    </cfRule>
  </conditionalFormatting>
  <conditionalFormatting sqref="AG8">
    <cfRule type="expression" dxfId="0" priority="24">
      <formula>AG8&lt;0</formula>
    </cfRule>
    <cfRule type="expression" dxfId="1" priority="25">
      <formula>AG8&gt;0</formula>
    </cfRule>
  </conditionalFormatting>
  <conditionalFormatting sqref="BE8">
    <cfRule type="expression" dxfId="0" priority="19">
      <formula>BE8&lt;0</formula>
    </cfRule>
    <cfRule type="expression" dxfId="1" priority="20">
      <formula>BE8&gt;0</formula>
    </cfRule>
  </conditionalFormatting>
  <conditionalFormatting sqref="BF8">
    <cfRule type="expression" dxfId="0" priority="21">
      <formula>BF8&lt;0</formula>
    </cfRule>
    <cfRule type="expression" dxfId="1" priority="22">
      <formula>BF8&gt;0</formula>
    </cfRule>
  </conditionalFormatting>
  <conditionalFormatting sqref="BX8:BY8">
    <cfRule type="expression" dxfId="0" priority="5">
      <formula>BX8&lt;0</formula>
    </cfRule>
    <cfRule type="expression" dxfId="1" priority="6">
      <formula>BX8&gt;0</formula>
    </cfRule>
  </conditionalFormatting>
  <conditionalFormatting sqref="BZ8">
    <cfRule type="expression" dxfId="0" priority="26">
      <formula>BZ8&lt;0</formula>
    </cfRule>
    <cfRule type="expression" dxfId="1" priority="27">
      <formula>BZ8&gt;0</formula>
    </cfRule>
  </conditionalFormatting>
  <conditionalFormatting sqref="G19">
    <cfRule type="colorScale" priority="23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21">
    <cfRule type="colorScale" priority="29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0">
    <cfRule type="colorScale" priority="34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1">
    <cfRule type="colorScale" priority="35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2">
    <cfRule type="colorScale" priority="28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3">
    <cfRule type="colorScale" priority="33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4">
    <cfRule type="colorScale" priority="31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5">
    <cfRule type="colorScale" priority="30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6">
    <cfRule type="colorScale" priority="37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7">
    <cfRule type="colorScale" priority="32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8">
    <cfRule type="colorScale" priority="36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AB8:AC8 AF8 BG8:BW8 CA8:CD8 Y8 AH8:BD8 CM8:CN8 H8:T8">
    <cfRule type="expression" dxfId="0" priority="2">
      <formula>H8&lt;0</formula>
    </cfRule>
    <cfRule type="expression" dxfId="1" priority="3">
      <formula>H8&gt;0</formula>
    </cfRule>
  </conditionalFormatting>
  <conditionalFormatting sqref="CO8 CD8:CF8">
    <cfRule type="expression" dxfId="0" priority="7">
      <formula>CD8&lt;0</formula>
    </cfRule>
    <cfRule type="expression" dxfId="1" priority="8">
      <formula>CD8&gt;0</formula>
    </cfRule>
  </conditionalFormatting>
  <conditionalFormatting sqref="G9:G18 G49 G20 G22:G39">
    <cfRule type="colorScale" priority="4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pageMargins left="0.25" right="0.25" top="0.75" bottom="0.75" header="0.511805555555555" footer="0.511805555555555"/>
  <pageSetup paperSize="8" scale="45" firstPageNumber="0" orientation="landscape" useFirstPageNumber="1" horizontalDpi="3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zoomScale="200" zoomScaleNormal="200" workbookViewId="0">
      <selection activeCell="A3" sqref="X7:X8 A3"/>
    </sheetView>
  </sheetViews>
  <sheetFormatPr defaultColWidth="8.57407407407407" defaultRowHeight="14.4"/>
  <sheetData/>
  <pageMargins left="0.7" right="0.7" top="0.75" bottom="0.75" header="0.511805555555555" footer="0.511805555555555"/>
  <pageSetup paperSize="1" firstPageNumber="0" orientation="portrait" useFirstPageNumber="1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zoomScale="200" zoomScaleNormal="200" workbookViewId="0">
      <selection activeCell="A1" sqref="X7:X8 A1"/>
    </sheetView>
  </sheetViews>
  <sheetFormatPr defaultColWidth="8.57407407407407" defaultRowHeight="14.4"/>
  <sheetData/>
  <pageMargins left="0.7" right="0.7" top="0.75" bottom="0.75" header="0.511805555555555" footer="0.511805555555555"/>
  <pageSetup paperSize="1" firstPageNumber="0" orientation="portrait" useFirstPageNumber="1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QUT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Allocation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Gordon Wyeth</dc:creator>
  <cp:lastModifiedBy>Joel Mehonoshen</cp:lastModifiedBy>
  <cp:revision>3</cp:revision>
  <dcterms:created xsi:type="dcterms:W3CDTF">2012-01-11T02:44:00Z</dcterms:created>
  <cp:lastPrinted>2020-05-06T00:37:00Z</cp:lastPrinted>
  <dcterms:modified xsi:type="dcterms:W3CDTF">2022-05-25T14:57:36Z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QUT</vt:lpwstr>
  </property>
  <property fmtid="{D5CDD505-2E9C-101B-9397-08002B2CF9AE}" pid="4" name="ContentTypeId">
    <vt:lpwstr>0x0101005144375E58E94B4797547602088A153E</vt:lpwstr>
  </property>
  <property fmtid="{D5CDD505-2E9C-101B-9397-08002B2CF9AE}" pid="5" name="DocSecurity">
    <vt:i4>0</vt:i4>
  </property>
  <property fmtid="{D5CDD505-2E9C-101B-9397-08002B2CF9AE}" pid="6" name="HyperlinksChanged">
    <vt:bool>false</vt:bool>
  </property>
  <property fmtid="{D5CDD505-2E9C-101B-9397-08002B2CF9AE}" pid="7" name="LinksUpToDate">
    <vt:bool>false</vt:bool>
  </property>
  <property fmtid="{D5CDD505-2E9C-101B-9397-08002B2CF9AE}" pid="8" name="ScaleCrop">
    <vt:bool>false</vt:bool>
  </property>
  <property fmtid="{D5CDD505-2E9C-101B-9397-08002B2CF9AE}" pid="9" name="ShareDoc">
    <vt:bool>false</vt:bool>
  </property>
  <property fmtid="{D5CDD505-2E9C-101B-9397-08002B2CF9AE}" pid="10" name="ICV">
    <vt:lpwstr>11E4B6F0FB2C4B6BB8839638F5ECBD6A</vt:lpwstr>
  </property>
  <property fmtid="{D5CDD505-2E9C-101B-9397-08002B2CF9AE}" pid="11" name="KSOProductBuildVer">
    <vt:lpwstr>1033-11.2.0.10308</vt:lpwstr>
  </property>
</Properties>
</file>